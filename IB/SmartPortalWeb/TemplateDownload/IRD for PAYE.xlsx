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UPER\Desktop\AYA\"/>
    </mc:Choice>
  </mc:AlternateContent>
  <xr:revisionPtr revIDLastSave="0" documentId="13_ncr:1_{57FA49C1-BCD2-408A-9992-337DAC92C9C2}" xr6:coauthVersionLast="36" xr6:coauthVersionMax="36" xr10:uidLastSave="{00000000-0000-0000-0000-000000000000}"/>
  <bookViews>
    <workbookView xWindow="-105" yWindow="345" windowWidth="20730" windowHeight="11760" xr2:uid="{00000000-000D-0000-FFFF-FFFF00000000}"/>
  </bookViews>
  <sheets>
    <sheet name="Attached for PAYE" sheetId="5" r:id="rId1"/>
    <sheet name="Period" sheetId="6" r:id="rId2"/>
    <sheet name="TSP_Code" sheetId="7" state="hidden" r:id="rId3"/>
  </sheets>
  <calcPr calcId="179021"/>
</workbook>
</file>

<file path=xl/calcChain.xml><?xml version="1.0" encoding="utf-8"?>
<calcChain xmlns="http://schemas.openxmlformats.org/spreadsheetml/2006/main">
  <c r="D89" i="5" l="1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6" i="5" l="1"/>
  <c r="D5" i="5"/>
</calcChain>
</file>

<file path=xl/sharedStrings.xml><?xml version="1.0" encoding="utf-8"?>
<sst xmlns="http://schemas.openxmlformats.org/spreadsheetml/2006/main" count="528" uniqueCount="404">
  <si>
    <t>Payment for PAYE (Attached List)</t>
  </si>
  <si>
    <t>Employer Name-</t>
  </si>
  <si>
    <t>TIN -</t>
  </si>
  <si>
    <t>NRC No (if)</t>
  </si>
  <si>
    <t>Passport No (if)</t>
  </si>
  <si>
    <t>Employee Name</t>
  </si>
  <si>
    <t>Position</t>
  </si>
  <si>
    <t>Remark</t>
  </si>
  <si>
    <t>-</t>
  </si>
  <si>
    <t>Thu Ya Oo</t>
  </si>
  <si>
    <t>Yangon</t>
  </si>
  <si>
    <t>1</t>
  </si>
  <si>
    <t>2020</t>
  </si>
  <si>
    <t>Income Year</t>
  </si>
  <si>
    <t>Tax Period</t>
  </si>
  <si>
    <t>Record Number</t>
  </si>
  <si>
    <t>Employee Address</t>
  </si>
  <si>
    <t>End Date of Period covered by Payment (DD-MM-YYYY)</t>
  </si>
  <si>
    <t>Salary for Period (Kyat)</t>
  </si>
  <si>
    <t>Allowances claimed by Employee</t>
  </si>
  <si>
    <t>Amount Withheld (Kyat)</t>
  </si>
  <si>
    <t>APR</t>
  </si>
  <si>
    <t>MAY</t>
  </si>
  <si>
    <t>JAN</t>
  </si>
  <si>
    <t>FEB</t>
  </si>
  <si>
    <t>MAR</t>
  </si>
  <si>
    <t>JUN</t>
  </si>
  <si>
    <t>JUL</t>
  </si>
  <si>
    <t>AUG</t>
  </si>
  <si>
    <t>SEP</t>
  </si>
  <si>
    <t>OCT</t>
  </si>
  <si>
    <t>NOV</t>
  </si>
  <si>
    <t>DEC</t>
  </si>
  <si>
    <t>Myo Myo</t>
  </si>
  <si>
    <t>2000000</t>
  </si>
  <si>
    <t>3000000</t>
  </si>
  <si>
    <t>1000000</t>
  </si>
  <si>
    <t>1200000</t>
  </si>
  <si>
    <t>20000</t>
  </si>
  <si>
    <t>23000</t>
  </si>
  <si>
    <t>30-06-2020</t>
  </si>
  <si>
    <t>Manager</t>
  </si>
  <si>
    <t>2</t>
  </si>
  <si>
    <t>3</t>
  </si>
  <si>
    <t>4</t>
  </si>
  <si>
    <t>5</t>
  </si>
  <si>
    <t>DAPHAYA</t>
  </si>
  <si>
    <t>HAPANA</t>
  </si>
  <si>
    <t>KAMANA</t>
  </si>
  <si>
    <t>KAPATA</t>
  </si>
  <si>
    <t>KHABADA</t>
  </si>
  <si>
    <t>KHALAPHA</t>
  </si>
  <si>
    <t>KHAPHANA</t>
  </si>
  <si>
    <t>LAGANA</t>
  </si>
  <si>
    <t>MAKANA</t>
  </si>
  <si>
    <t>MAKATA</t>
  </si>
  <si>
    <t>MAKHABA</t>
  </si>
  <si>
    <t>MALANA</t>
  </si>
  <si>
    <t>MAMANA</t>
  </si>
  <si>
    <t>MANYANA</t>
  </si>
  <si>
    <t>MASANA</t>
  </si>
  <si>
    <t>NAMANA</t>
  </si>
  <si>
    <t>PANADA</t>
  </si>
  <si>
    <t>PATAAH</t>
  </si>
  <si>
    <t>PAWANA</t>
  </si>
  <si>
    <t>PHAKANA</t>
  </si>
  <si>
    <t>SABANA</t>
  </si>
  <si>
    <t>SADANA</t>
  </si>
  <si>
    <t>SALANA</t>
  </si>
  <si>
    <t>SAPABA</t>
  </si>
  <si>
    <t>TANANA</t>
  </si>
  <si>
    <t>WAMANA</t>
  </si>
  <si>
    <t>YABAYA</t>
  </si>
  <si>
    <t>YAKANA</t>
  </si>
  <si>
    <t>BALAKHA</t>
  </si>
  <si>
    <t>DAMASA</t>
  </si>
  <si>
    <t>LAKANA</t>
  </si>
  <si>
    <t>PHASANA</t>
  </si>
  <si>
    <t>PHAYASA</t>
  </si>
  <si>
    <t>YATANA</t>
  </si>
  <si>
    <t>YATHANA</t>
  </si>
  <si>
    <t>BAAHNA</t>
  </si>
  <si>
    <t>BAGALA</t>
  </si>
  <si>
    <t>BAKALA</t>
  </si>
  <si>
    <t>BATHASA</t>
  </si>
  <si>
    <t>KADANA</t>
  </si>
  <si>
    <t>KAKAYA</t>
  </si>
  <si>
    <t>KAMAMA</t>
  </si>
  <si>
    <t>KASAKA</t>
  </si>
  <si>
    <t>LABANA</t>
  </si>
  <si>
    <t>LATHANA</t>
  </si>
  <si>
    <t>MAWATA</t>
  </si>
  <si>
    <t>PAKANA</t>
  </si>
  <si>
    <t>PHAAHNA</t>
  </si>
  <si>
    <t>PHAPANA</t>
  </si>
  <si>
    <t>SAKALA</t>
  </si>
  <si>
    <t>THATAKA</t>
  </si>
  <si>
    <t>THATANA</t>
  </si>
  <si>
    <t>WALAMA</t>
  </si>
  <si>
    <t>YAYATHA</t>
  </si>
  <si>
    <t>HAKHANA</t>
  </si>
  <si>
    <t>HTATALA</t>
  </si>
  <si>
    <t>KAKHANA</t>
  </si>
  <si>
    <t>KAPALA</t>
  </si>
  <si>
    <t>MATANA</t>
  </si>
  <si>
    <t>MATAPA</t>
  </si>
  <si>
    <t>PALAWA</t>
  </si>
  <si>
    <t>PHALANA</t>
  </si>
  <si>
    <t>SAMANA</t>
  </si>
  <si>
    <t>TATANA</t>
  </si>
  <si>
    <t>TAZANA</t>
  </si>
  <si>
    <t>YAKHADA</t>
  </si>
  <si>
    <t>YAZANA</t>
  </si>
  <si>
    <t>AHTANA</t>
  </si>
  <si>
    <t>AHYATA</t>
  </si>
  <si>
    <t>BAMANA</t>
  </si>
  <si>
    <t>BATALA</t>
  </si>
  <si>
    <t>DAHANA</t>
  </si>
  <si>
    <t>DAPAYA</t>
  </si>
  <si>
    <t>HAMALA</t>
  </si>
  <si>
    <t>HSAMAYA</t>
  </si>
  <si>
    <t>HTAKHANA</t>
  </si>
  <si>
    <t>HTAPAKHA</t>
  </si>
  <si>
    <t>KABALA</t>
  </si>
  <si>
    <t>KALAHTA</t>
  </si>
  <si>
    <t>KALANA</t>
  </si>
  <si>
    <t>KALATA</t>
  </si>
  <si>
    <t>KALAWA</t>
  </si>
  <si>
    <t>KANANA</t>
  </si>
  <si>
    <t>KATHANA</t>
  </si>
  <si>
    <t>KHAOUNA</t>
  </si>
  <si>
    <t>KHAOUTA</t>
  </si>
  <si>
    <t>KHAPANA</t>
  </si>
  <si>
    <t>KHATANA</t>
  </si>
  <si>
    <t>LAHANA</t>
  </si>
  <si>
    <t>LAYANA</t>
  </si>
  <si>
    <t>MAMATA</t>
  </si>
  <si>
    <t>MAPALA</t>
  </si>
  <si>
    <t>MATHANA</t>
  </si>
  <si>
    <t>MAYANA</t>
  </si>
  <si>
    <t>NAYANA</t>
  </si>
  <si>
    <t>NGAZANA</t>
  </si>
  <si>
    <t>PALABA</t>
  </si>
  <si>
    <t>PALANA</t>
  </si>
  <si>
    <t>PASANA</t>
  </si>
  <si>
    <t>SAKANA</t>
  </si>
  <si>
    <t>HSALAKA</t>
  </si>
  <si>
    <t>TAMANA</t>
  </si>
  <si>
    <t>TASANA</t>
  </si>
  <si>
    <t>WALANA</t>
  </si>
  <si>
    <t>WATHANA</t>
  </si>
  <si>
    <t>YABANA</t>
  </si>
  <si>
    <t>YAMAPA</t>
  </si>
  <si>
    <t>YAOUNA</t>
  </si>
  <si>
    <t>YATHAKA</t>
  </si>
  <si>
    <t>BAPANA</t>
  </si>
  <si>
    <t>HTAWANA</t>
  </si>
  <si>
    <t>KALAAH</t>
  </si>
  <si>
    <t>KASANA</t>
  </si>
  <si>
    <t>KAYAYA</t>
  </si>
  <si>
    <t>KHAMAKA</t>
  </si>
  <si>
    <t>LALANA</t>
  </si>
  <si>
    <t>MAAHNA</t>
  </si>
  <si>
    <t>MAAHYA</t>
  </si>
  <si>
    <t>NGAYAKA</t>
  </si>
  <si>
    <t>PAKAMA</t>
  </si>
  <si>
    <t>PALATA</t>
  </si>
  <si>
    <t>TANATHA</t>
  </si>
  <si>
    <t>TATHAYA</t>
  </si>
  <si>
    <t>THAYAKHA</t>
  </si>
  <si>
    <t>YAPHANA</t>
  </si>
  <si>
    <t>AHPHANA</t>
  </si>
  <si>
    <t>DAOUNA</t>
  </si>
  <si>
    <t>HTATAPA</t>
  </si>
  <si>
    <t>KAKANA</t>
  </si>
  <si>
    <t>KAPAKA</t>
  </si>
  <si>
    <t>KATAKHA</t>
  </si>
  <si>
    <t>KATATA</t>
  </si>
  <si>
    <t>KAWANA</t>
  </si>
  <si>
    <t>LAPATA</t>
  </si>
  <si>
    <t>MADANA</t>
  </si>
  <si>
    <t>NATALA</t>
  </si>
  <si>
    <t>NYALAPA</t>
  </si>
  <si>
    <t>PAKHANA</t>
  </si>
  <si>
    <t>PAKHATA</t>
  </si>
  <si>
    <t>PAMANA</t>
  </si>
  <si>
    <t>PANAKA</t>
  </si>
  <si>
    <t>PATALA</t>
  </si>
  <si>
    <t>PATANA</t>
  </si>
  <si>
    <t>PATASA</t>
  </si>
  <si>
    <t>PATATA</t>
  </si>
  <si>
    <t>PHAMANA</t>
  </si>
  <si>
    <t>TANGANA</t>
  </si>
  <si>
    <t>THAKANA</t>
  </si>
  <si>
    <t>THANAPA</t>
  </si>
  <si>
    <t>THASANA</t>
  </si>
  <si>
    <t>THAWATA</t>
  </si>
  <si>
    <t>YATAYA</t>
  </si>
  <si>
    <t>ZAKANA</t>
  </si>
  <si>
    <t>AHLANA</t>
  </si>
  <si>
    <t>GAGANA</t>
  </si>
  <si>
    <t>HTALANA</t>
  </si>
  <si>
    <t>KAHTANA</t>
  </si>
  <si>
    <t>KHAMANA</t>
  </si>
  <si>
    <t>MABANA</t>
  </si>
  <si>
    <t>MAHTANA</t>
  </si>
  <si>
    <t>NGAPHANA</t>
  </si>
  <si>
    <t>PAKHAKA</t>
  </si>
  <si>
    <t>PAPHANA</t>
  </si>
  <si>
    <t>SAPAWA</t>
  </si>
  <si>
    <t>SAPHANA</t>
  </si>
  <si>
    <t>SATAYA</t>
  </si>
  <si>
    <t>TATAKA</t>
  </si>
  <si>
    <t>THAYANA</t>
  </si>
  <si>
    <t>YAMANA</t>
  </si>
  <si>
    <t>YANAKHA</t>
  </si>
  <si>
    <t>YASAKA</t>
  </si>
  <si>
    <t>AHMAYA</t>
  </si>
  <si>
    <t>AHMAZA</t>
  </si>
  <si>
    <t>AUTATHA</t>
  </si>
  <si>
    <t>DAKHATHA</t>
  </si>
  <si>
    <t>KHAAHZA</t>
  </si>
  <si>
    <t>KHAMASA</t>
  </si>
  <si>
    <t>LAWANA</t>
  </si>
  <si>
    <t>MAHAMA</t>
  </si>
  <si>
    <t>MAHTALA</t>
  </si>
  <si>
    <t>MAKHANA</t>
  </si>
  <si>
    <t>MANAMA</t>
  </si>
  <si>
    <t>MANATA</t>
  </si>
  <si>
    <t>MATAYA</t>
  </si>
  <si>
    <t>MAYAMA</t>
  </si>
  <si>
    <t>MAYATA</t>
  </si>
  <si>
    <t>NAHTAKA</t>
  </si>
  <si>
    <t>NGATHAYA</t>
  </si>
  <si>
    <t>NYAOUNA</t>
  </si>
  <si>
    <t>PABANA</t>
  </si>
  <si>
    <t>PABATHA</t>
  </si>
  <si>
    <t>PAKAKHA</t>
  </si>
  <si>
    <t>PAOULA</t>
  </si>
  <si>
    <t>PATHAKA</t>
  </si>
  <si>
    <t>SAKATA</t>
  </si>
  <si>
    <t>TAKANA</t>
  </si>
  <si>
    <t>TAKATA</t>
  </si>
  <si>
    <t>TATAOU</t>
  </si>
  <si>
    <t>TATHANA</t>
  </si>
  <si>
    <t>THAPAKA</t>
  </si>
  <si>
    <t>WATANA</t>
  </si>
  <si>
    <t>YAMATHA</t>
  </si>
  <si>
    <t>ZABATHA</t>
  </si>
  <si>
    <t>ZAYATHA</t>
  </si>
  <si>
    <t>BALANA</t>
  </si>
  <si>
    <t>KAKHAMA</t>
  </si>
  <si>
    <t>KAMAYA</t>
  </si>
  <si>
    <t>KHASANA</t>
  </si>
  <si>
    <t>KHAZANA</t>
  </si>
  <si>
    <t>LAMANA</t>
  </si>
  <si>
    <t>MALAMA</t>
  </si>
  <si>
    <t>THAHTANA</t>
  </si>
  <si>
    <t>THAPHAYA</t>
  </si>
  <si>
    <t>AHMANA</t>
  </si>
  <si>
    <t>BATHATA</t>
  </si>
  <si>
    <t>GAMANA</t>
  </si>
  <si>
    <t>KAPHANA</t>
  </si>
  <si>
    <t>KATALA</t>
  </si>
  <si>
    <t>KATANA</t>
  </si>
  <si>
    <t>MAAHTA</t>
  </si>
  <si>
    <t>MAOUNA</t>
  </si>
  <si>
    <t>MAPANA</t>
  </si>
  <si>
    <t>MAPATA</t>
  </si>
  <si>
    <t>PANATA</t>
  </si>
  <si>
    <t>SATANA</t>
  </si>
  <si>
    <t>TAPAWA</t>
  </si>
  <si>
    <t>YATHATA</t>
  </si>
  <si>
    <t>AHSANA</t>
  </si>
  <si>
    <t>BAHANA</t>
  </si>
  <si>
    <t>BATAHTA</t>
  </si>
  <si>
    <t>DAGAMA</t>
  </si>
  <si>
    <t>DAGANA</t>
  </si>
  <si>
    <t>DAGASA</t>
  </si>
  <si>
    <t>DAGATA</t>
  </si>
  <si>
    <t>DAGAYA</t>
  </si>
  <si>
    <t>DALANA</t>
  </si>
  <si>
    <t>DAPANA</t>
  </si>
  <si>
    <t>KAKAKA</t>
  </si>
  <si>
    <t>KAKHAKA</t>
  </si>
  <si>
    <t>KAMATA</t>
  </si>
  <si>
    <t>KHAYANA</t>
  </si>
  <si>
    <t>LAMATA</t>
  </si>
  <si>
    <t>LATHAYA</t>
  </si>
  <si>
    <t>MAGADA</t>
  </si>
  <si>
    <t>MAGATA</t>
  </si>
  <si>
    <t>MAYAKA</t>
  </si>
  <si>
    <t>OUKAMA</t>
  </si>
  <si>
    <t>OUKATA</t>
  </si>
  <si>
    <t>PABATA</t>
  </si>
  <si>
    <t>PAZATA</t>
  </si>
  <si>
    <t>SAKAKHA</t>
  </si>
  <si>
    <t>SAKHANA</t>
  </si>
  <si>
    <t>TATAHTA</t>
  </si>
  <si>
    <t>THAGAKA</t>
  </si>
  <si>
    <t>THAKATA</t>
  </si>
  <si>
    <t>THAKHANA</t>
  </si>
  <si>
    <t>THALANA</t>
  </si>
  <si>
    <t>YAPATHA</t>
  </si>
  <si>
    <t>AHPANA</t>
  </si>
  <si>
    <t>AHTHAYA</t>
  </si>
  <si>
    <t>HAHANA</t>
  </si>
  <si>
    <t>HAMANA</t>
  </si>
  <si>
    <t>HAPATA</t>
  </si>
  <si>
    <t>KAHANA</t>
  </si>
  <si>
    <t>KALADA</t>
  </si>
  <si>
    <t>KHALANA</t>
  </si>
  <si>
    <t>KHAYAHA</t>
  </si>
  <si>
    <t>LAKHANA</t>
  </si>
  <si>
    <t>LAKHATA</t>
  </si>
  <si>
    <t>MAHAYA</t>
  </si>
  <si>
    <t>MAHTATA</t>
  </si>
  <si>
    <t>MAKHATA</t>
  </si>
  <si>
    <t>MALATA</t>
  </si>
  <si>
    <t>MAMAHTA</t>
  </si>
  <si>
    <t>MANANA</t>
  </si>
  <si>
    <t>MANGANA</t>
  </si>
  <si>
    <t>MAPHANA</t>
  </si>
  <si>
    <t>MAPHATA</t>
  </si>
  <si>
    <t>MARATA</t>
  </si>
  <si>
    <t>MASATA</t>
  </si>
  <si>
    <t>MAHSATA</t>
  </si>
  <si>
    <t>MATATA</t>
  </si>
  <si>
    <t>MAYAHTA</t>
  </si>
  <si>
    <t>NAHSANA</t>
  </si>
  <si>
    <t>NAKHANA</t>
  </si>
  <si>
    <t>NAKHATA</t>
  </si>
  <si>
    <t>NAMATA</t>
  </si>
  <si>
    <t>NAPHANA</t>
  </si>
  <si>
    <t>NASANA</t>
  </si>
  <si>
    <t>NATAYA</t>
  </si>
  <si>
    <t>NYAYANA</t>
  </si>
  <si>
    <t>PAPAKA</t>
  </si>
  <si>
    <t>PASATA</t>
  </si>
  <si>
    <t>PATAYA</t>
  </si>
  <si>
    <t>PHAKHANA</t>
  </si>
  <si>
    <t>SASANA</t>
  </si>
  <si>
    <t>TAKHALA</t>
  </si>
  <si>
    <t>TALANA</t>
  </si>
  <si>
    <t>TAMANYA</t>
  </si>
  <si>
    <t>TAYANA</t>
  </si>
  <si>
    <t>THANANA</t>
  </si>
  <si>
    <t>THAPANA</t>
  </si>
  <si>
    <t>YANGANA</t>
  </si>
  <si>
    <t>YANYANA</t>
  </si>
  <si>
    <t>YASANA</t>
  </si>
  <si>
    <t>AHGAPA</t>
  </si>
  <si>
    <t>AHMATA</t>
  </si>
  <si>
    <t>DADAYA</t>
  </si>
  <si>
    <t>DANAPHA</t>
  </si>
  <si>
    <t>HAKAKA</t>
  </si>
  <si>
    <t>HATHATA</t>
  </si>
  <si>
    <t>KAKAHTA</t>
  </si>
  <si>
    <t>KAPANA</t>
  </si>
  <si>
    <t>MAAHPA</t>
  </si>
  <si>
    <t>MAMAKA</t>
  </si>
  <si>
    <t>NGAPATA</t>
  </si>
  <si>
    <t>NGASANA</t>
  </si>
  <si>
    <t>NGATHAKHA</t>
  </si>
  <si>
    <t>NYATANA</t>
  </si>
  <si>
    <t>PASALA</t>
  </si>
  <si>
    <t>PATHAAH</t>
  </si>
  <si>
    <t>PATHANA</t>
  </si>
  <si>
    <t>PATHAYA</t>
  </si>
  <si>
    <t>WAKHAMA</t>
  </si>
  <si>
    <t>YATHAYA</t>
  </si>
  <si>
    <t>ZALANA</t>
  </si>
  <si>
    <t>(N)</t>
  </si>
  <si>
    <t>DivisionState</t>
  </si>
  <si>
    <t>Kachin</t>
  </si>
  <si>
    <t>Kayah</t>
  </si>
  <si>
    <t>Kayin</t>
  </si>
  <si>
    <t>Chin</t>
  </si>
  <si>
    <t>Sagaing</t>
  </si>
  <si>
    <t>Tanintharyi</t>
  </si>
  <si>
    <t>Bago</t>
  </si>
  <si>
    <t>Magwe</t>
  </si>
  <si>
    <t>Mandalay</t>
  </si>
  <si>
    <t>Mon</t>
  </si>
  <si>
    <t>Rakhine</t>
  </si>
  <si>
    <t>Shan</t>
  </si>
  <si>
    <t>Ayeyarwaddy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</si>
  <si>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</si>
  <si>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</si>
  <si>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</si>
  <si>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</si>
  <si>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</si>
  <si>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</si>
  <si>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</si>
  <si>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</si>
  <si>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</si>
  <si>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.</t>
  </si>
  <si>
    <t>N0-6/75,AyeTharYar Township,Taunngkyi</t>
  </si>
  <si>
    <t>No-8,34Shwe Lann,Yangon</t>
  </si>
  <si>
    <t>Diamond Palace Services Company Limited</t>
  </si>
  <si>
    <t>General Manager</t>
  </si>
  <si>
    <t>122204</t>
  </si>
  <si>
    <t>052334</t>
  </si>
  <si>
    <t>100XXXXXX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</si>
</sst>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/&quot;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49" fontId="0" fillId="0" borderId="1" xfId="0" applyNumberFormat="1" applyFont="1" applyFill="1" applyBorder="1" applyAlignment="1">
      <alignment horizontal="center" vertical="center" wrapText="1"/>
    </xf>
    <xf numFmtId="49" fontId="0" fillId="0" borderId="1" xfId="0" quotePrefix="1" applyNumberFormat="1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 wrapText="1"/>
    </xf>
    <xf numFmtId="49" fontId="0" fillId="0" borderId="1" xfId="0" quotePrefix="1" applyNumberFormat="1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49" fontId="0" fillId="0" borderId="4" xfId="0" quotePrefix="1" applyNumberFormat="1" applyFont="1" applyBorder="1" applyAlignment="1">
      <alignment horizontal="center" vertical="center"/>
    </xf>
    <xf numFmtId="49" fontId="0" fillId="0" borderId="4" xfId="0" applyNumberFormat="1" applyFont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 wrapText="1"/>
    </xf>
    <xf numFmtId="49" fontId="0" fillId="0" borderId="4" xfId="0" quotePrefix="1" applyNumberFormat="1" applyFont="1" applyBorder="1" applyAlignment="1">
      <alignment horizontal="center" vertical="center" wrapText="1"/>
    </xf>
    <xf numFmtId="49" fontId="0" fillId="0" borderId="4" xfId="0" applyNumberFormat="1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/>
    </xf>
    <xf numFmtId="49" fontId="0" fillId="0" borderId="9" xfId="0" applyNumberFormat="1" applyFont="1" applyFill="1" applyBorder="1" applyAlignment="1" applyProtection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7" xfId="0" applyNumberFormat="1" applyBorder="1" applyAlignment="1">
      <alignment horizontal="right" vertical="center"/>
    </xf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applyBorder="1" applyProtection="1">
      <protection hidden="1"/>
    </xf>
    <xf numFmtId="0" fontId="0" fillId="0" borderId="0" xfId="0" applyFill="1" applyBorder="1" applyProtection="1">
      <protection hidden="1"/>
    </xf>
    <xf numFmtId="0" fontId="3" fillId="0" borderId="0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3" fillId="2" borderId="2" xfId="0" quotePrefix="1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45">
    <dxf>
      <protection locked="1" hidden="1"/>
    </dxf>
    <dxf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fill>
        <patternFill patternType="none">
          <fgColor indexed="64"/>
          <bgColor indexed="65"/>
        </patternFill>
      </fill>
      <protection locked="1" hidden="1"/>
    </dxf>
    <dxf>
      <fill>
        <patternFill patternType="none">
          <fgColor indexed="64"/>
          <bgColor indexed="65"/>
        </patternFill>
      </fill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protection locked="1" hidden="1"/>
    </dxf>
    <dxf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protection locked="1" hidden="1"/>
    </dxf>
    <dxf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fill>
        <patternFill patternType="none">
          <fgColor indexed="64"/>
          <bgColor indexed="65"/>
        </patternFill>
      </fill>
      <protection locked="1" hidden="1"/>
    </dxf>
    <dxf>
      <fill>
        <patternFill patternType="none">
          <fgColor indexed="64"/>
          <bgColor indexed="65"/>
        </patternFill>
      </fill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protection locked="1" hidden="1"/>
    </dxf>
    <dxf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protection locked="1" hidden="1"/>
    </dxf>
    <dxf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protection locked="1" hidden="1"/>
    </dxf>
    <dxf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fill>
        <patternFill patternType="none">
          <fgColor indexed="64"/>
          <bgColor indexed="65"/>
        </patternFill>
      </fill>
      <protection locked="1" hidden="1"/>
    </dxf>
    <dxf>
      <fill>
        <patternFill patternType="none">
          <fgColor indexed="64"/>
          <bgColor indexed="65"/>
        </patternFill>
      </fill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protection locked="1" hidden="1"/>
    </dxf>
    <dxf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fill>
        <patternFill patternType="none">
          <fgColor indexed="64"/>
          <bgColor indexed="65"/>
        </patternFill>
      </fill>
      <protection locked="1" hidden="1"/>
    </dxf>
    <dxf>
      <fill>
        <patternFill patternType="none">
          <fgColor indexed="64"/>
          <bgColor indexed="65"/>
        </patternFill>
      </fill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protection locked="1" hidden="1"/>
    </dxf>
    <dxf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protection locked="1" hidden="1"/>
    </dxf>
    <dxf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protection locked="1" hidden="1"/>
    </dxf>
    <dxf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protection locked="1" hidden="1"/>
    </dxf>
    <dxf>
      <protection locked="1" hidden="1"/>
    </dxf>
    <dxf>
      <protection locked="1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visionState" displayName="DivisionState" ref="A1:A15" totalsRowShown="0" headerRowDxfId="44" dataDxfId="43">
  <autoFilter ref="A1:A15" xr:uid="{00000000-0009-0000-0100-000001000000}"/>
  <tableColumns count="1">
    <tableColumn id="1" xr3:uid="{00000000-0010-0000-0000-000001000000}" name="DivisionState" dataDxfId="4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Kachin" displayName="Kachin" ref="D1:D29" totalsRowShown="0" headerRowDxfId="41" dataDxfId="40">
  <autoFilter ref="D1:D29" xr:uid="{00000000-0009-0000-0100-000005000000}"/>
  <tableColumns count="1">
    <tableColumn id="1" xr3:uid="{00000000-0010-0000-0100-000001000000}" name="1" dataDxfId="39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Kayah" displayName="Kayah" ref="E1:E9" totalsRowShown="0" headerRowDxfId="38" dataDxfId="37">
  <autoFilter ref="E1:E9" xr:uid="{00000000-0009-0000-0100-000006000000}"/>
  <tableColumns count="1">
    <tableColumn id="1" xr3:uid="{00000000-0010-0000-0200-000001000000}" name="2" dataDxfId="36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3000000}" name="Kayin" displayName="Kayin" ref="F1:F20" totalsRowShown="0" headerRowDxfId="35" dataDxfId="34">
  <autoFilter ref="F1:F20" xr:uid="{00000000-0009-0000-0100-000007000000}"/>
  <tableColumns count="1">
    <tableColumn id="1" xr3:uid="{00000000-0010-0000-0300-000001000000}" name="3" dataDxfId="33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4000000}" name="Chin" displayName="Chin" ref="G1:G14" totalsRowShown="0" headerRowDxfId="32" dataDxfId="31">
  <autoFilter ref="G1:G14" xr:uid="{00000000-0009-0000-0100-000008000000}"/>
  <tableColumns count="1">
    <tableColumn id="1" xr3:uid="{00000000-0010-0000-0400-000001000000}" name="4" dataDxfId="30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Sagaing" displayName="Sagaing" ref="H1:H48" totalsRowShown="0" headerRowDxfId="29" dataDxfId="28">
  <autoFilter ref="H1:H48" xr:uid="{00000000-0009-0000-0100-000009000000}"/>
  <tableColumns count="1">
    <tableColumn id="1" xr3:uid="{00000000-0010-0000-0500-000001000000}" name="5" dataDxfId="27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6000000}" name="Tanintharyi" displayName="Tanintharyi" ref="I1:I21" totalsRowShown="0" headerRowDxfId="26" dataDxfId="25">
  <autoFilter ref="I1:I21" xr:uid="{00000000-0009-0000-0100-00000A000000}"/>
  <tableColumns count="1">
    <tableColumn id="1" xr3:uid="{00000000-0010-0000-0600-000001000000}" name="6" dataDxfId="24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7000000}" name="Bago" displayName="Bago" ref="J1:J35" totalsRowShown="0" headerRowDxfId="23" dataDxfId="22">
  <autoFilter ref="J1:J35" xr:uid="{00000000-0009-0000-0100-00000B000000}"/>
  <tableColumns count="1">
    <tableColumn id="1" xr3:uid="{00000000-0010-0000-0700-000001000000}" name="7" dataDxfId="21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8000000}" name="Magwe" displayName="Magwe" ref="K1:K30" totalsRowShown="0" headerRowDxfId="20" dataDxfId="19">
  <autoFilter ref="K1:K30" xr:uid="{00000000-0009-0000-0100-00000C000000}"/>
  <tableColumns count="1">
    <tableColumn id="1" xr3:uid="{00000000-0010-0000-0800-000001000000}" name="8" dataDxfId="18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9000000}" name="Mandalay" displayName="Mandalay" ref="L1:L46" totalsRowShown="0" headerRowDxfId="17" dataDxfId="16">
  <autoFilter ref="L1:L46" xr:uid="{00000000-0009-0000-0100-00000D000000}"/>
  <tableColumns count="1">
    <tableColumn id="1" xr3:uid="{00000000-0010-0000-0900-000001000000}" name="9" dataDxfId="15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A000000}" name="Mon" displayName="Mon" ref="M1:M14" totalsRowShown="0" headerRowDxfId="14" dataDxfId="13">
  <autoFilter ref="M1:M14" xr:uid="{00000000-0009-0000-0100-00000E000000}"/>
  <tableColumns count="1">
    <tableColumn id="1" xr3:uid="{00000000-0010-0000-0A00-000001000000}" name="10" dataDxfId="12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B000000}" name="Rakhine" displayName="Rakhine" ref="N1:N22" totalsRowShown="0" headerRowDxfId="11" dataDxfId="10">
  <autoFilter ref="N1:N22" xr:uid="{00000000-0009-0000-0100-00000F000000}"/>
  <tableColumns count="1">
    <tableColumn id="1" xr3:uid="{00000000-0010-0000-0B00-000001000000}" name="11" dataDxfId="9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C000000}" name="Yangon" displayName="Yangon" ref="O1:O47" totalsRowShown="0" headerRowDxfId="8" dataDxfId="7">
  <autoFilter ref="O1:O47" xr:uid="{00000000-0009-0000-0100-000010000000}"/>
  <tableColumns count="1">
    <tableColumn id="1" xr3:uid="{00000000-0010-0000-0C00-000001000000}" name="12" dataDxfId="6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D000000}" name="Shan" displayName="Shan" ref="P1:P83" totalsRowShown="0" headerRowDxfId="5" dataDxfId="4">
  <autoFilter ref="P1:P83" xr:uid="{00000000-0009-0000-0100-000011000000}"/>
  <tableColumns count="1">
    <tableColumn id="1" xr3:uid="{00000000-0010-0000-0D00-000001000000}" name="13" dataDxfId="3"/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E000000}" name="Ayeyarwaddy" displayName="Ayeyarwaddy" ref="Q1:Q36" totalsRowShown="0" headerRowDxfId="2" dataDxfId="1">
  <autoFilter ref="Q1:Q36" xr:uid="{00000000-0009-0000-0100-000012000000}"/>
  <tableColumns count="1">
    <tableColumn id="1" xr3:uid="{00000000-0010-0000-0E00-000001000000}" name="14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topLeftCell="E1" workbookViewId="0">
      <selection activeCell="E14" sqref="E14"/>
    </sheetView>
  </sheetViews>
  <sheetFormatPr defaultColWidth="9.140625" defaultRowHeight="20.100000000000001" customHeight="1" x14ac:dyDescent="0.25"/>
  <cols>
    <col min="1" max="1" width="15.85546875" style="1" customWidth="1"/>
    <col min="2" max="2" width="17.7109375" style="1" customWidth="1"/>
    <col min="3" max="3" width="3.85546875" style="1" bestFit="1" customWidth="1"/>
    <col min="4" max="4" width="12.7109375" style="1" hidden="1" customWidth="1"/>
    <col min="5" max="5" width="9.5703125" style="1" bestFit="1" customWidth="1"/>
    <col min="6" max="6" width="4.7109375" style="1" customWidth="1"/>
    <col min="7" max="7" width="9.140625" style="1" customWidth="1"/>
    <col min="8" max="8" width="38.140625" style="10" bestFit="1" customWidth="1"/>
    <col min="9" max="9" width="16.28515625" style="1" customWidth="1"/>
    <col min="10" max="10" width="22.7109375" style="1" customWidth="1"/>
    <col min="11" max="11" width="44.42578125" style="1" customWidth="1"/>
    <col min="12" max="12" width="10" style="1" customWidth="1"/>
    <col min="13" max="13" width="11.5703125" style="10" customWidth="1"/>
    <col min="14" max="14" width="31.7109375" style="1" customWidth="1"/>
    <col min="15" max="15" width="29.5703125" style="1" customWidth="1"/>
    <col min="16" max="16" width="30.28515625" style="1" customWidth="1"/>
    <col min="17" max="17" width="9.28515625" style="1" customWidth="1"/>
    <col min="18" max="18" width="9.140625" style="1"/>
    <col min="19" max="19" width="12.28515625" style="1" customWidth="1"/>
    <col min="20" max="16384" width="9.140625" style="1"/>
  </cols>
  <sheetData>
    <row r="1" spans="1:18" ht="21.95" customHeight="1" x14ac:dyDescent="0.25">
      <c r="A1" s="37" t="s">
        <v>0</v>
      </c>
      <c r="B1" s="37"/>
      <c r="C1" s="37"/>
      <c r="D1" s="37"/>
      <c r="E1" s="37"/>
      <c r="F1" s="37"/>
      <c r="G1" s="37"/>
      <c r="H1" s="38"/>
      <c r="I1" s="37"/>
      <c r="J1" s="37"/>
      <c r="K1" s="37"/>
      <c r="L1" s="37"/>
      <c r="M1" s="37"/>
      <c r="N1" s="37"/>
      <c r="O1" s="37"/>
      <c r="P1" s="37"/>
      <c r="Q1" s="37"/>
    </row>
    <row r="2" spans="1:18" ht="21.95" customHeight="1" x14ac:dyDescent="0.25">
      <c r="A2" s="39" t="s">
        <v>1</v>
      </c>
      <c r="B2" s="39"/>
      <c r="C2" s="39"/>
      <c r="D2" s="39"/>
      <c r="E2" s="39"/>
      <c r="F2" s="39"/>
      <c r="G2" s="39"/>
      <c r="H2" s="40"/>
      <c r="I2" s="17" t="s">
        <v>399</v>
      </c>
      <c r="J2" s="7"/>
      <c r="K2" s="7"/>
      <c r="M2" s="8"/>
      <c r="N2" s="7"/>
      <c r="O2" s="7"/>
      <c r="P2" s="7"/>
      <c r="Q2" s="7"/>
    </row>
    <row r="3" spans="1:18" ht="21.95" customHeight="1" x14ac:dyDescent="0.25">
      <c r="A3" s="41" t="s">
        <v>2</v>
      </c>
      <c r="B3" s="41"/>
      <c r="C3" s="39"/>
      <c r="D3" s="39"/>
      <c r="E3" s="39"/>
      <c r="F3" s="39"/>
      <c r="G3" s="39"/>
      <c r="H3" s="42"/>
      <c r="I3" s="46" t="s">
        <v>403</v>
      </c>
      <c r="J3" s="4"/>
      <c r="K3" s="4"/>
      <c r="M3" s="9"/>
      <c r="N3" s="4"/>
      <c r="O3" s="4"/>
      <c r="P3" s="4"/>
      <c r="Q3" s="4"/>
    </row>
    <row r="4" spans="1:18" ht="30" x14ac:dyDescent="0.25">
      <c r="A4" s="3" t="s">
        <v>15</v>
      </c>
      <c r="B4" s="27" t="s">
        <v>5</v>
      </c>
      <c r="C4" s="43" t="s">
        <v>3</v>
      </c>
      <c r="D4" s="44"/>
      <c r="E4" s="44"/>
      <c r="F4" s="44"/>
      <c r="G4" s="45"/>
      <c r="H4" s="28" t="s">
        <v>16</v>
      </c>
      <c r="I4" s="18" t="s">
        <v>4</v>
      </c>
      <c r="J4" s="6" t="s">
        <v>6</v>
      </c>
      <c r="K4" s="6" t="s">
        <v>17</v>
      </c>
      <c r="L4" s="3" t="s">
        <v>14</v>
      </c>
      <c r="M4" s="20" t="s">
        <v>13</v>
      </c>
      <c r="N4" s="6" t="s">
        <v>18</v>
      </c>
      <c r="O4" s="6" t="s">
        <v>19</v>
      </c>
      <c r="P4" s="6" t="s">
        <v>20</v>
      </c>
      <c r="Q4" s="5" t="s">
        <v>7</v>
      </c>
    </row>
    <row r="5" spans="1:18" s="2" customFormat="1" ht="24.75" customHeight="1" x14ac:dyDescent="0.25">
      <c r="A5" s="12" t="s">
        <v>11</v>
      </c>
      <c r="B5" s="13" t="s">
        <v>9</v>
      </c>
      <c r="C5" s="32">
        <v>1</v>
      </c>
      <c r="D5" s="31" t="str">
        <f>IF(C5="","",IFERROR(VLOOKUP(C5,TSP_Code!$A$2:$B$15,2,FALSE),""))</f>
        <v>Kachin</v>
      </c>
      <c r="E5" s="29" t="s">
        <v>46</v>
      </c>
      <c r="F5" s="31" t="s">
        <v>372</v>
      </c>
      <c r="G5" s="30" t="s">
        <v>401</v>
      </c>
      <c r="H5" s="13" t="s">
        <v>397</v>
      </c>
      <c r="I5" s="19" t="s">
        <v>8</v>
      </c>
      <c r="J5" s="14" t="s">
        <v>41</v>
      </c>
      <c r="K5" s="14" t="s">
        <v>40</v>
      </c>
      <c r="L5" s="14" t="s">
        <v>26</v>
      </c>
      <c r="M5" s="11" t="s">
        <v>12</v>
      </c>
      <c r="N5" s="12" t="s">
        <v>34</v>
      </c>
      <c r="O5" s="15" t="s">
        <v>36</v>
      </c>
      <c r="P5" s="12" t="s">
        <v>38</v>
      </c>
      <c r="Q5" s="16"/>
      <c r="R5"/>
    </row>
    <row r="6" spans="1:18" ht="20.100000000000001" customHeight="1" x14ac:dyDescent="0.25">
      <c r="A6" s="12" t="s">
        <v>42</v>
      </c>
      <c r="B6" s="13" t="s">
        <v>33</v>
      </c>
      <c r="C6" s="32">
        <v>14</v>
      </c>
      <c r="D6" s="31" t="str">
        <f>IF(C6="","",IFERROR(VLOOKUP(C6,TSP_Code!$A$2:$B$15,2,FALSE),""))</f>
        <v>Ayeyarwaddy</v>
      </c>
      <c r="E6" s="29" t="s">
        <v>353</v>
      </c>
      <c r="F6" s="31" t="s">
        <v>372</v>
      </c>
      <c r="G6" s="30" t="s">
        <v>402</v>
      </c>
      <c r="H6" s="22" t="s">
        <v>398</v>
      </c>
      <c r="I6" s="19" t="s">
        <v>8</v>
      </c>
      <c r="J6" s="14" t="s">
        <v>400</v>
      </c>
      <c r="K6" s="14" t="s">
        <v>40</v>
      </c>
      <c r="L6" s="14" t="s">
        <v>26</v>
      </c>
      <c r="M6" s="11" t="s">
        <v>12</v>
      </c>
      <c r="N6" s="12" t="s">
        <v>35</v>
      </c>
      <c r="O6" s="15" t="s">
        <v>37</v>
      </c>
      <c r="P6" s="12" t="s">
        <v>39</v>
      </c>
      <c r="Q6" s="16"/>
    </row>
    <row r="7" spans="1:18" ht="20.100000000000001" customHeight="1" x14ac:dyDescent="0.25">
      <c r="A7" s="12"/>
      <c r="B7" s="13"/>
      <c r="C7" s="32"/>
      <c r="D7" s="31"/>
      <c r="E7" s="29"/>
      <c r="F7" s="31"/>
      <c r="G7" s="30"/>
      <c r="H7" s="13"/>
      <c r="I7" s="19"/>
      <c r="J7" s="14"/>
      <c r="K7" s="14"/>
      <c r="L7" s="14"/>
      <c r="M7" s="11"/>
      <c r="N7" s="12"/>
      <c r="O7" s="15"/>
      <c r="P7" s="12"/>
      <c r="Q7" s="16"/>
    </row>
    <row r="8" spans="1:18" ht="20.100000000000001" customHeight="1" x14ac:dyDescent="0.25">
      <c r="A8" s="12"/>
      <c r="B8" s="13"/>
      <c r="C8" s="32"/>
      <c r="D8" s="31"/>
      <c r="E8" s="29"/>
      <c r="F8" s="31"/>
      <c r="G8" s="30"/>
      <c r="H8" s="13"/>
      <c r="I8" s="19"/>
      <c r="J8" s="14"/>
      <c r="K8" s="14"/>
      <c r="L8" s="14"/>
      <c r="M8" s="11"/>
      <c r="N8" s="12"/>
      <c r="O8" s="15"/>
      <c r="P8" s="12"/>
      <c r="Q8" s="16"/>
    </row>
    <row r="9" spans="1:18" ht="20.100000000000001" customHeight="1" x14ac:dyDescent="0.25">
      <c r="A9" s="21"/>
      <c r="B9" s="22"/>
      <c r="C9" s="32"/>
      <c r="D9" s="31"/>
      <c r="E9" s="29"/>
      <c r="F9" s="31"/>
      <c r="G9" s="30"/>
      <c r="H9" s="13"/>
      <c r="I9" s="23"/>
      <c r="J9" s="14"/>
      <c r="K9" s="14"/>
      <c r="L9" s="14"/>
      <c r="M9" s="24"/>
      <c r="N9" s="21"/>
      <c r="O9" s="25"/>
      <c r="P9" s="21"/>
      <c r="Q9" s="26"/>
    </row>
    <row r="10" spans="1:18" ht="20.100000000000001" customHeight="1" x14ac:dyDescent="0.25">
      <c r="A10" s="12"/>
      <c r="B10" s="13"/>
      <c r="C10" s="32"/>
      <c r="D10" s="31" t="str">
        <f>IF(C10="","",IFERROR(VLOOKUP(C10,TSP_Code!$A$2:$B$15,2,FALSE),""))</f>
        <v/>
      </c>
      <c r="E10" s="29"/>
      <c r="F10" s="31"/>
      <c r="G10" s="30"/>
      <c r="H10" s="13"/>
      <c r="I10" s="19"/>
      <c r="J10" s="14"/>
      <c r="K10" s="14"/>
      <c r="L10" s="14"/>
      <c r="M10" s="11"/>
      <c r="N10" s="12"/>
      <c r="O10" s="15"/>
      <c r="P10" s="12"/>
      <c r="Q10" s="16"/>
    </row>
    <row r="11" spans="1:18" ht="20.100000000000001" customHeight="1" x14ac:dyDescent="0.25">
      <c r="A11" s="12"/>
      <c r="B11" s="13"/>
      <c r="C11" s="32"/>
      <c r="D11" s="31" t="str">
        <f>IF(C11="","",IFERROR(VLOOKUP(C11,TSP_Code!$A$2:$B$15,2,FALSE),""))</f>
        <v/>
      </c>
      <c r="E11" s="29"/>
      <c r="F11" s="31"/>
      <c r="G11" s="30"/>
      <c r="H11" s="13"/>
      <c r="I11" s="19"/>
      <c r="J11" s="14"/>
      <c r="K11" s="14"/>
      <c r="L11" s="14"/>
      <c r="M11" s="11"/>
      <c r="N11" s="12"/>
      <c r="O11" s="15"/>
      <c r="P11" s="12"/>
      <c r="Q11" s="16"/>
    </row>
    <row r="12" spans="1:18" ht="20.100000000000001" customHeight="1" x14ac:dyDescent="0.25">
      <c r="A12" s="12"/>
      <c r="B12" s="13"/>
      <c r="C12" s="32"/>
      <c r="D12" s="31" t="str">
        <f>IF(C12="","",IFERROR(VLOOKUP(C12,TSP_Code!$A$2:$B$15,2,FALSE),""))</f>
        <v/>
      </c>
      <c r="E12" s="29"/>
      <c r="F12" s="31"/>
      <c r="G12" s="30"/>
      <c r="H12" s="13"/>
      <c r="I12" s="19"/>
      <c r="J12" s="14"/>
      <c r="K12" s="14"/>
      <c r="L12" s="14"/>
      <c r="M12" s="11"/>
      <c r="N12" s="12"/>
      <c r="O12" s="15"/>
      <c r="P12" s="12"/>
      <c r="Q12" s="16"/>
    </row>
    <row r="13" spans="1:18" ht="20.100000000000001" customHeight="1" x14ac:dyDescent="0.25">
      <c r="A13" s="12"/>
      <c r="B13" s="13"/>
      <c r="C13" s="32"/>
      <c r="D13" s="31" t="str">
        <f>IF(C13="","",IFERROR(VLOOKUP(C13,TSP_Code!$A$2:$B$15,2,FALSE),""))</f>
        <v/>
      </c>
      <c r="E13" s="29"/>
      <c r="F13" s="31"/>
      <c r="G13" s="30"/>
      <c r="H13" s="13"/>
      <c r="I13" s="19"/>
      <c r="J13" s="14"/>
      <c r="K13" s="14"/>
      <c r="L13" s="14"/>
      <c r="M13" s="11"/>
      <c r="N13" s="12"/>
      <c r="O13" s="15"/>
      <c r="P13" s="12"/>
      <c r="Q13" s="16"/>
    </row>
    <row r="14" spans="1:18" ht="20.100000000000001" customHeight="1" x14ac:dyDescent="0.25">
      <c r="A14" s="12"/>
      <c r="B14" s="13"/>
      <c r="C14" s="32"/>
      <c r="D14" s="31" t="str">
        <f>IF(C14="","",IFERROR(VLOOKUP(C14,TSP_Code!$A$2:$B$15,2,FALSE),""))</f>
        <v/>
      </c>
      <c r="E14" s="29"/>
      <c r="F14" s="31"/>
      <c r="G14" s="30"/>
      <c r="H14" s="13"/>
      <c r="I14" s="19"/>
      <c r="J14" s="14"/>
      <c r="K14" s="14"/>
      <c r="L14" s="14"/>
      <c r="M14" s="11"/>
      <c r="N14" s="12"/>
      <c r="O14" s="15"/>
      <c r="P14" s="12"/>
      <c r="Q14" s="16"/>
    </row>
    <row r="15" spans="1:18" ht="20.100000000000001" customHeight="1" x14ac:dyDescent="0.25">
      <c r="A15" s="12"/>
      <c r="B15" s="13"/>
      <c r="C15" s="32"/>
      <c r="D15" s="31" t="str">
        <f>IF(C15="","",IFERROR(VLOOKUP(C15,TSP_Code!$A$2:$B$15,2,FALSE),""))</f>
        <v/>
      </c>
      <c r="E15" s="29"/>
      <c r="F15" s="31"/>
      <c r="G15" s="30"/>
      <c r="H15" s="13"/>
      <c r="I15" s="19"/>
      <c r="J15" s="14"/>
      <c r="K15" s="14"/>
      <c r="L15" s="14"/>
      <c r="M15" s="11"/>
      <c r="N15" s="12"/>
      <c r="O15" s="15"/>
      <c r="P15" s="12"/>
      <c r="Q15" s="16"/>
    </row>
    <row r="16" spans="1:18" ht="20.100000000000001" customHeight="1" x14ac:dyDescent="0.25">
      <c r="A16" s="12"/>
      <c r="B16" s="13"/>
      <c r="C16" s="32"/>
      <c r="D16" s="31" t="str">
        <f>IF(C16="","",IFERROR(VLOOKUP(C16,TSP_Code!$A$2:$B$15,2,FALSE),""))</f>
        <v/>
      </c>
      <c r="E16" s="29"/>
      <c r="F16" s="31"/>
      <c r="G16" s="30"/>
      <c r="H16" s="13"/>
      <c r="I16" s="19"/>
      <c r="J16" s="14"/>
      <c r="K16" s="14"/>
      <c r="L16" s="14"/>
      <c r="M16" s="11"/>
      <c r="N16" s="12"/>
      <c r="O16" s="15"/>
      <c r="P16" s="12"/>
      <c r="Q16" s="16"/>
    </row>
    <row r="17" spans="1:17" ht="20.100000000000001" customHeight="1" x14ac:dyDescent="0.25">
      <c r="A17" s="12"/>
      <c r="B17" s="13"/>
      <c r="C17" s="32"/>
      <c r="D17" s="31" t="str">
        <f>IF(C17="","",IFERROR(VLOOKUP(C17,TSP_Code!$A$2:$B$15,2,FALSE),""))</f>
        <v/>
      </c>
      <c r="E17" s="29"/>
      <c r="F17" s="31"/>
      <c r="G17" s="30"/>
      <c r="H17" s="13"/>
      <c r="I17" s="19"/>
      <c r="J17" s="14"/>
      <c r="K17" s="14"/>
      <c r="L17" s="14"/>
      <c r="M17" s="11"/>
      <c r="N17" s="12"/>
      <c r="O17" s="15"/>
      <c r="P17" s="12"/>
      <c r="Q17" s="16"/>
    </row>
    <row r="18" spans="1:17" ht="20.100000000000001" customHeight="1" x14ac:dyDescent="0.25">
      <c r="A18" s="12"/>
      <c r="B18" s="13"/>
      <c r="C18" s="32"/>
      <c r="D18" s="31" t="str">
        <f>IF(C18="","",IFERROR(VLOOKUP(C18,TSP_Code!$A$2:$B$15,2,FALSE),""))</f>
        <v/>
      </c>
      <c r="E18" s="29"/>
      <c r="F18" s="31"/>
      <c r="G18" s="30"/>
      <c r="H18" s="13"/>
      <c r="I18" s="19"/>
      <c r="J18" s="14"/>
      <c r="K18" s="14"/>
      <c r="L18" s="14"/>
      <c r="M18" s="11"/>
      <c r="N18" s="12"/>
      <c r="O18" s="15"/>
      <c r="P18" s="12"/>
      <c r="Q18" s="16"/>
    </row>
    <row r="19" spans="1:17" ht="20.100000000000001" customHeight="1" x14ac:dyDescent="0.25">
      <c r="A19" s="12"/>
      <c r="B19" s="13"/>
      <c r="C19" s="32"/>
      <c r="D19" s="31" t="str">
        <f>IF(C19="","",IFERROR(VLOOKUP(C19,TSP_Code!$A$2:$B$15,2,FALSE),""))</f>
        <v/>
      </c>
      <c r="E19" s="29"/>
      <c r="F19" s="31"/>
      <c r="G19" s="30"/>
      <c r="H19" s="13"/>
      <c r="I19" s="19"/>
      <c r="J19" s="14"/>
      <c r="K19" s="14"/>
      <c r="L19" s="14"/>
      <c r="M19" s="11"/>
      <c r="N19" s="12"/>
      <c r="O19" s="15"/>
      <c r="P19" s="12"/>
      <c r="Q19" s="16"/>
    </row>
    <row r="20" spans="1:17" ht="20.100000000000001" customHeight="1" x14ac:dyDescent="0.25">
      <c r="A20" s="12"/>
      <c r="B20" s="13"/>
      <c r="C20" s="32"/>
      <c r="D20" s="31" t="str">
        <f>IF(C20="","",IFERROR(VLOOKUP(C20,TSP_Code!$A$2:$B$15,2,FALSE),""))</f>
        <v/>
      </c>
      <c r="E20" s="29"/>
      <c r="F20" s="31"/>
      <c r="G20" s="30"/>
      <c r="H20" s="13"/>
      <c r="I20" s="19"/>
      <c r="J20" s="14"/>
      <c r="K20" s="14"/>
      <c r="L20" s="14"/>
      <c r="M20" s="11"/>
      <c r="N20" s="12"/>
      <c r="O20" s="15"/>
      <c r="P20" s="12"/>
      <c r="Q20" s="16"/>
    </row>
    <row r="21" spans="1:17" ht="20.100000000000001" customHeight="1" x14ac:dyDescent="0.25">
      <c r="A21" s="12"/>
      <c r="B21" s="13"/>
      <c r="C21" s="32"/>
      <c r="D21" s="31" t="str">
        <f>IF(C21="","",IFERROR(VLOOKUP(C21,TSP_Code!$A$2:$B$15,2,FALSE),""))</f>
        <v/>
      </c>
      <c r="E21" s="29"/>
      <c r="F21" s="31"/>
      <c r="G21" s="30"/>
      <c r="H21" s="13"/>
      <c r="I21" s="19"/>
      <c r="J21" s="14"/>
      <c r="K21" s="14"/>
      <c r="L21" s="14"/>
      <c r="M21" s="11"/>
      <c r="N21" s="12"/>
      <c r="O21" s="15"/>
      <c r="P21" s="12"/>
      <c r="Q21" s="16"/>
    </row>
    <row r="22" spans="1:17" ht="20.100000000000001" customHeight="1" x14ac:dyDescent="0.25">
      <c r="A22" s="12"/>
      <c r="B22" s="13"/>
      <c r="C22" s="32"/>
      <c r="D22" s="31" t="str">
        <f>IF(C22="","",IFERROR(VLOOKUP(C22,TSP_Code!$A$2:$B$15,2,FALSE),""))</f>
        <v/>
      </c>
      <c r="E22" s="29"/>
      <c r="F22" s="31"/>
      <c r="G22" s="30"/>
      <c r="H22" s="13"/>
      <c r="I22" s="19"/>
      <c r="J22" s="14"/>
      <c r="K22" s="14"/>
      <c r="L22" s="14"/>
      <c r="M22" s="11"/>
      <c r="N22" s="12"/>
      <c r="O22" s="15"/>
      <c r="P22" s="12"/>
      <c r="Q22" s="16"/>
    </row>
    <row r="23" spans="1:17" ht="20.100000000000001" customHeight="1" x14ac:dyDescent="0.25">
      <c r="A23" s="12"/>
      <c r="B23" s="13"/>
      <c r="C23" s="32"/>
      <c r="D23" s="31" t="str">
        <f>IF(C23="","",IFERROR(VLOOKUP(C23,TSP_Code!$A$2:$B$15,2,FALSE),""))</f>
        <v/>
      </c>
      <c r="E23" s="29"/>
      <c r="F23" s="31"/>
      <c r="G23" s="30"/>
      <c r="H23" s="13"/>
      <c r="I23" s="19"/>
      <c r="J23" s="14"/>
      <c r="K23" s="14"/>
      <c r="L23" s="14"/>
      <c r="M23" s="11"/>
      <c r="N23" s="12"/>
      <c r="O23" s="15"/>
      <c r="P23" s="12"/>
      <c r="Q23" s="16"/>
    </row>
    <row r="24" spans="1:17" ht="20.100000000000001" customHeight="1" x14ac:dyDescent="0.25">
      <c r="A24" s="12"/>
      <c r="B24" s="13"/>
      <c r="C24" s="32"/>
      <c r="D24" s="31" t="str">
        <f>IF(C24="","",IFERROR(VLOOKUP(C24,TSP_Code!$A$2:$B$15,2,FALSE),""))</f>
        <v/>
      </c>
      <c r="E24" s="29"/>
      <c r="F24" s="31"/>
      <c r="G24" s="30"/>
      <c r="H24" s="13"/>
      <c r="I24" s="19"/>
      <c r="J24" s="14"/>
      <c r="K24" s="14"/>
      <c r="L24" s="14"/>
      <c r="M24" s="11"/>
      <c r="N24" s="12"/>
      <c r="O24" s="15"/>
      <c r="P24" s="12"/>
      <c r="Q24" s="16"/>
    </row>
    <row r="25" spans="1:17" ht="20.100000000000001" customHeight="1" x14ac:dyDescent="0.25">
      <c r="A25" s="12"/>
      <c r="B25" s="13"/>
      <c r="C25" s="32"/>
      <c r="D25" s="31" t="str">
        <f>IF(C25="","",IFERROR(VLOOKUP(C25,TSP_Code!$A$2:$B$15,2,FALSE),""))</f>
        <v/>
      </c>
      <c r="E25" s="29"/>
      <c r="F25" s="31"/>
      <c r="G25" s="30"/>
      <c r="H25" s="13"/>
      <c r="I25" s="19"/>
      <c r="J25" s="14"/>
      <c r="K25" s="14"/>
      <c r="L25" s="14"/>
      <c r="M25" s="11"/>
      <c r="N25" s="12"/>
      <c r="O25" s="15"/>
      <c r="P25" s="12"/>
      <c r="Q25" s="16"/>
    </row>
    <row r="26" spans="1:17" ht="20.100000000000001" customHeight="1" x14ac:dyDescent="0.25">
      <c r="A26" s="12"/>
      <c r="B26" s="13"/>
      <c r="C26" s="32"/>
      <c r="D26" s="31" t="str">
        <f>IF(C26="","",IFERROR(VLOOKUP(C26,TSP_Code!$A$2:$B$15,2,FALSE),""))</f>
        <v/>
      </c>
      <c r="E26" s="29"/>
      <c r="F26" s="31"/>
      <c r="G26" s="30"/>
      <c r="H26" s="13"/>
      <c r="I26" s="19"/>
      <c r="J26" s="14"/>
      <c r="K26" s="14"/>
      <c r="L26" s="14"/>
      <c r="M26" s="11"/>
      <c r="N26" s="12"/>
      <c r="O26" s="15"/>
      <c r="P26" s="12"/>
      <c r="Q26" s="16"/>
    </row>
    <row r="27" spans="1:17" ht="20.100000000000001" customHeight="1" x14ac:dyDescent="0.25">
      <c r="A27" s="12"/>
      <c r="B27" s="13"/>
      <c r="C27" s="32"/>
      <c r="D27" s="31" t="str">
        <f>IF(C27="","",IFERROR(VLOOKUP(C27,TSP_Code!$A$2:$B$15,2,FALSE),""))</f>
        <v/>
      </c>
      <c r="E27" s="29"/>
      <c r="F27" s="31"/>
      <c r="G27" s="30"/>
      <c r="H27" s="13"/>
      <c r="I27" s="19"/>
      <c r="J27" s="14"/>
      <c r="K27" s="14"/>
      <c r="L27" s="14"/>
      <c r="M27" s="11"/>
      <c r="N27" s="12"/>
      <c r="O27" s="15"/>
      <c r="P27" s="12"/>
      <c r="Q27" s="16"/>
    </row>
    <row r="28" spans="1:17" ht="20.100000000000001" customHeight="1" x14ac:dyDescent="0.25">
      <c r="A28" s="12"/>
      <c r="B28" s="13"/>
      <c r="C28" s="32"/>
      <c r="D28" s="31" t="str">
        <f>IF(C28="","",IFERROR(VLOOKUP(C28,TSP_Code!$A$2:$B$15,2,FALSE),""))</f>
        <v/>
      </c>
      <c r="E28" s="29"/>
      <c r="F28" s="31"/>
      <c r="G28" s="30"/>
      <c r="H28" s="13"/>
      <c r="I28" s="19"/>
      <c r="J28" s="14"/>
      <c r="K28" s="14"/>
      <c r="L28" s="14"/>
      <c r="M28" s="11"/>
      <c r="N28" s="12"/>
      <c r="O28" s="15"/>
      <c r="P28" s="12"/>
      <c r="Q28" s="16"/>
    </row>
    <row r="29" spans="1:17" ht="20.100000000000001" customHeight="1" x14ac:dyDescent="0.25">
      <c r="A29" s="12"/>
      <c r="B29" s="13"/>
      <c r="C29" s="32"/>
      <c r="D29" s="31" t="str">
        <f>IF(C29="","",IFERROR(VLOOKUP(C29,TSP_Code!$A$2:$B$15,2,FALSE),""))</f>
        <v/>
      </c>
      <c r="E29" s="29"/>
      <c r="F29" s="31"/>
      <c r="G29" s="30"/>
      <c r="H29" s="13"/>
      <c r="I29" s="19"/>
      <c r="J29" s="14"/>
      <c r="K29" s="14"/>
      <c r="L29" s="14"/>
      <c r="M29" s="11"/>
      <c r="N29" s="12"/>
      <c r="O29" s="15"/>
      <c r="P29" s="12"/>
      <c r="Q29" s="16"/>
    </row>
    <row r="30" spans="1:17" ht="20.100000000000001" customHeight="1" x14ac:dyDescent="0.25">
      <c r="A30" s="12"/>
      <c r="B30" s="13"/>
      <c r="C30" s="32"/>
      <c r="D30" s="31" t="str">
        <f>IF(C30="","",IFERROR(VLOOKUP(C30,TSP_Code!$A$2:$B$15,2,FALSE),""))</f>
        <v/>
      </c>
      <c r="E30" s="29"/>
      <c r="F30" s="31"/>
      <c r="G30" s="30"/>
      <c r="H30" s="13"/>
      <c r="I30" s="19"/>
      <c r="J30" s="14"/>
      <c r="K30" s="14"/>
      <c r="L30" s="14"/>
      <c r="M30" s="11"/>
      <c r="N30" s="12"/>
      <c r="O30" s="15"/>
      <c r="P30" s="12"/>
      <c r="Q30" s="16"/>
    </row>
    <row r="31" spans="1:17" ht="20.100000000000001" customHeight="1" x14ac:dyDescent="0.25">
      <c r="A31" s="12"/>
      <c r="B31" s="13"/>
      <c r="C31" s="32"/>
      <c r="D31" s="31" t="str">
        <f>IF(C31="","",IFERROR(VLOOKUP(C31,TSP_Code!$A$2:$B$15,2,FALSE),""))</f>
        <v/>
      </c>
      <c r="E31" s="29"/>
      <c r="F31" s="31"/>
      <c r="G31" s="30"/>
      <c r="H31" s="13"/>
      <c r="I31" s="19"/>
      <c r="J31" s="14"/>
      <c r="K31" s="14"/>
      <c r="L31" s="14"/>
      <c r="M31" s="11"/>
      <c r="N31" s="12"/>
      <c r="O31" s="15"/>
      <c r="P31" s="12"/>
      <c r="Q31" s="16"/>
    </row>
    <row r="32" spans="1:17" ht="20.100000000000001" customHeight="1" x14ac:dyDescent="0.25">
      <c r="A32" s="12"/>
      <c r="B32" s="13"/>
      <c r="C32" s="32"/>
      <c r="D32" s="31" t="str">
        <f>IF(C32="","",IFERROR(VLOOKUP(C32,TSP_Code!$A$2:$B$15,2,FALSE),""))</f>
        <v/>
      </c>
      <c r="E32" s="29"/>
      <c r="F32" s="31"/>
      <c r="G32" s="30"/>
      <c r="H32" s="13"/>
      <c r="I32" s="19"/>
      <c r="J32" s="14"/>
      <c r="K32" s="14"/>
      <c r="L32" s="14"/>
      <c r="M32" s="11"/>
      <c r="N32" s="12"/>
      <c r="O32" s="15"/>
      <c r="P32" s="12"/>
      <c r="Q32" s="16"/>
    </row>
    <row r="33" spans="1:17" ht="20.100000000000001" customHeight="1" x14ac:dyDescent="0.25">
      <c r="A33" s="12"/>
      <c r="B33" s="13"/>
      <c r="C33" s="32"/>
      <c r="D33" s="31" t="str">
        <f>IF(C33="","",IFERROR(VLOOKUP(C33,TSP_Code!$A$2:$B$15,2,FALSE),""))</f>
        <v/>
      </c>
      <c r="E33" s="29"/>
      <c r="F33" s="31"/>
      <c r="G33" s="30"/>
      <c r="H33" s="13"/>
      <c r="I33" s="19"/>
      <c r="J33" s="14"/>
      <c r="K33" s="14"/>
      <c r="L33" s="14"/>
      <c r="M33" s="11"/>
      <c r="N33" s="12"/>
      <c r="O33" s="15"/>
      <c r="P33" s="12"/>
      <c r="Q33" s="16"/>
    </row>
    <row r="34" spans="1:17" ht="20.100000000000001" customHeight="1" x14ac:dyDescent="0.25">
      <c r="A34" s="12"/>
      <c r="B34" s="13"/>
      <c r="C34" s="32"/>
      <c r="D34" s="31" t="str">
        <f>IF(C34="","",IFERROR(VLOOKUP(C34,TSP_Code!$A$2:$B$15,2,FALSE),""))</f>
        <v/>
      </c>
      <c r="E34" s="29"/>
      <c r="F34" s="31"/>
      <c r="G34" s="30"/>
      <c r="H34" s="13"/>
      <c r="I34" s="19"/>
      <c r="J34" s="14"/>
      <c r="K34" s="14"/>
      <c r="L34" s="14"/>
      <c r="M34" s="11"/>
      <c r="N34" s="12"/>
      <c r="O34" s="15"/>
      <c r="P34" s="12"/>
      <c r="Q34" s="16"/>
    </row>
    <row r="35" spans="1:17" ht="20.100000000000001" customHeight="1" x14ac:dyDescent="0.25">
      <c r="A35" s="12"/>
      <c r="B35" s="13"/>
      <c r="C35" s="32"/>
      <c r="D35" s="31" t="str">
        <f>IF(C35="","",IFERROR(VLOOKUP(C35,TSP_Code!$A$2:$B$15,2,FALSE),""))</f>
        <v/>
      </c>
      <c r="E35" s="29"/>
      <c r="F35" s="31"/>
      <c r="G35" s="30"/>
      <c r="H35" s="13"/>
      <c r="I35" s="19"/>
      <c r="J35" s="14"/>
      <c r="K35" s="14"/>
      <c r="L35" s="14"/>
      <c r="M35" s="11"/>
      <c r="N35" s="12"/>
      <c r="O35" s="15"/>
      <c r="P35" s="12"/>
      <c r="Q35" s="16"/>
    </row>
    <row r="36" spans="1:17" ht="20.100000000000001" customHeight="1" x14ac:dyDescent="0.25">
      <c r="A36" s="12"/>
      <c r="B36" s="13"/>
      <c r="C36" s="32"/>
      <c r="D36" s="31" t="str">
        <f>IF(C36="","",IFERROR(VLOOKUP(C36,TSP_Code!$A$2:$B$15,2,FALSE),""))</f>
        <v/>
      </c>
      <c r="E36" s="29"/>
      <c r="F36" s="31"/>
      <c r="G36" s="30"/>
      <c r="H36" s="13"/>
      <c r="I36" s="19"/>
      <c r="J36" s="14"/>
      <c r="K36" s="14"/>
      <c r="L36" s="14"/>
      <c r="M36" s="11"/>
      <c r="N36" s="12"/>
      <c r="O36" s="15"/>
      <c r="P36" s="12"/>
      <c r="Q36" s="16"/>
    </row>
    <row r="37" spans="1:17" ht="20.100000000000001" customHeight="1" x14ac:dyDescent="0.25">
      <c r="A37" s="12"/>
      <c r="B37" s="13"/>
      <c r="C37" s="32"/>
      <c r="D37" s="31" t="str">
        <f>IF(C37="","",IFERROR(VLOOKUP(C37,TSP_Code!$A$2:$B$15,2,FALSE),""))</f>
        <v/>
      </c>
      <c r="E37" s="29"/>
      <c r="F37" s="31"/>
      <c r="G37" s="30"/>
      <c r="H37" s="13"/>
      <c r="I37" s="19"/>
      <c r="J37" s="14"/>
      <c r="K37" s="14"/>
      <c r="L37" s="14"/>
      <c r="M37" s="11"/>
      <c r="N37" s="12"/>
      <c r="O37" s="15"/>
      <c r="P37" s="12"/>
      <c r="Q37" s="16"/>
    </row>
    <row r="38" spans="1:17" ht="20.100000000000001" customHeight="1" x14ac:dyDescent="0.25">
      <c r="A38" s="12"/>
      <c r="B38" s="13"/>
      <c r="C38" s="32"/>
      <c r="D38" s="31" t="str">
        <f>IF(C38="","",IFERROR(VLOOKUP(C38,TSP_Code!$A$2:$B$15,2,FALSE),""))</f>
        <v/>
      </c>
      <c r="E38" s="29"/>
      <c r="F38" s="31"/>
      <c r="G38" s="30"/>
      <c r="H38" s="13"/>
      <c r="I38" s="19"/>
      <c r="J38" s="14"/>
      <c r="K38" s="14"/>
      <c r="L38" s="14"/>
      <c r="M38" s="11"/>
      <c r="N38" s="12"/>
      <c r="O38" s="15"/>
      <c r="P38" s="12"/>
      <c r="Q38" s="16"/>
    </row>
    <row r="39" spans="1:17" ht="20.100000000000001" customHeight="1" x14ac:dyDescent="0.25">
      <c r="A39" s="12"/>
      <c r="B39" s="13"/>
      <c r="C39" s="32"/>
      <c r="D39" s="31" t="str">
        <f>IF(C39="","",IFERROR(VLOOKUP(C39,TSP_Code!$A$2:$B$15,2,FALSE),""))</f>
        <v/>
      </c>
      <c r="E39" s="29"/>
      <c r="F39" s="31"/>
      <c r="G39" s="30"/>
      <c r="H39" s="13"/>
      <c r="I39" s="19"/>
      <c r="J39" s="14"/>
      <c r="K39" s="14"/>
      <c r="L39" s="14"/>
      <c r="M39" s="11"/>
      <c r="N39" s="12"/>
      <c r="O39" s="15"/>
      <c r="P39" s="12"/>
      <c r="Q39" s="16"/>
    </row>
    <row r="40" spans="1:17" ht="20.100000000000001" customHeight="1" x14ac:dyDescent="0.25">
      <c r="A40" s="12"/>
      <c r="B40" s="13"/>
      <c r="C40" s="32"/>
      <c r="D40" s="31" t="str">
        <f>IF(C40="","",IFERROR(VLOOKUP(C40,TSP_Code!$A$2:$B$15,2,FALSE),""))</f>
        <v/>
      </c>
      <c r="E40" s="29"/>
      <c r="F40" s="31"/>
      <c r="G40" s="30"/>
      <c r="H40" s="13"/>
      <c r="I40" s="19"/>
      <c r="J40" s="14"/>
      <c r="K40" s="14"/>
      <c r="L40" s="14"/>
      <c r="M40" s="11"/>
      <c r="N40" s="12"/>
      <c r="O40" s="15"/>
      <c r="P40" s="12"/>
      <c r="Q40" s="16"/>
    </row>
    <row r="41" spans="1:17" ht="20.100000000000001" customHeight="1" x14ac:dyDescent="0.25">
      <c r="A41" s="12"/>
      <c r="B41" s="13"/>
      <c r="C41" s="32"/>
      <c r="D41" s="31" t="str">
        <f>IF(C41="","",IFERROR(VLOOKUP(C41,TSP_Code!$A$2:$B$15,2,FALSE),""))</f>
        <v/>
      </c>
      <c r="E41" s="29"/>
      <c r="F41" s="31"/>
      <c r="G41" s="30"/>
      <c r="H41" s="13"/>
      <c r="I41" s="19"/>
      <c r="J41" s="14"/>
      <c r="K41" s="14"/>
      <c r="L41" s="14"/>
      <c r="M41" s="11"/>
      <c r="N41" s="12"/>
      <c r="O41" s="15"/>
      <c r="P41" s="12"/>
      <c r="Q41" s="16"/>
    </row>
    <row r="42" spans="1:17" ht="20.100000000000001" customHeight="1" x14ac:dyDescent="0.25">
      <c r="A42" s="12"/>
      <c r="B42" s="13"/>
      <c r="C42" s="32"/>
      <c r="D42" s="31" t="str">
        <f>IF(C42="","",IFERROR(VLOOKUP(C42,TSP_Code!$A$2:$B$15,2,FALSE),""))</f>
        <v/>
      </c>
      <c r="E42" s="29"/>
      <c r="F42" s="31"/>
      <c r="G42" s="30"/>
      <c r="H42" s="13"/>
      <c r="I42" s="19"/>
      <c r="J42" s="14"/>
      <c r="K42" s="14"/>
      <c r="L42" s="14"/>
      <c r="M42" s="11"/>
      <c r="N42" s="12"/>
      <c r="O42" s="15"/>
      <c r="P42" s="12"/>
      <c r="Q42" s="16"/>
    </row>
    <row r="43" spans="1:17" ht="20.100000000000001" customHeight="1" x14ac:dyDescent="0.25">
      <c r="A43" s="12"/>
      <c r="B43" s="13"/>
      <c r="C43" s="32"/>
      <c r="D43" s="31" t="str">
        <f>IF(C43="","",IFERROR(VLOOKUP(C43,TSP_Code!$A$2:$B$15,2,FALSE),""))</f>
        <v/>
      </c>
      <c r="E43" s="29"/>
      <c r="F43" s="31"/>
      <c r="G43" s="30"/>
      <c r="H43" s="13"/>
      <c r="I43" s="19"/>
      <c r="J43" s="14"/>
      <c r="K43" s="14"/>
      <c r="L43" s="14"/>
      <c r="M43" s="11"/>
      <c r="N43" s="12"/>
      <c r="O43" s="15"/>
      <c r="P43" s="12"/>
      <c r="Q43" s="16"/>
    </row>
    <row r="44" spans="1:17" ht="20.100000000000001" customHeight="1" x14ac:dyDescent="0.25">
      <c r="A44" s="12"/>
      <c r="B44" s="13"/>
      <c r="C44" s="32"/>
      <c r="D44" s="31" t="str">
        <f>IF(C44="","",IFERROR(VLOOKUP(C44,TSP_Code!$A$2:$B$15,2,FALSE),""))</f>
        <v/>
      </c>
      <c r="E44" s="29"/>
      <c r="F44" s="31"/>
      <c r="G44" s="30"/>
      <c r="H44" s="13"/>
      <c r="I44" s="19"/>
      <c r="J44" s="14"/>
      <c r="K44" s="14"/>
      <c r="L44" s="14"/>
      <c r="M44" s="11"/>
      <c r="N44" s="12"/>
      <c r="O44" s="15"/>
      <c r="P44" s="12"/>
      <c r="Q44" s="16"/>
    </row>
    <row r="45" spans="1:17" ht="20.100000000000001" customHeight="1" x14ac:dyDescent="0.25">
      <c r="A45" s="12"/>
      <c r="B45" s="13"/>
      <c r="C45" s="32"/>
      <c r="D45" s="31" t="str">
        <f>IF(C45="","",IFERROR(VLOOKUP(C45,TSP_Code!$A$2:$B$15,2,FALSE),""))</f>
        <v/>
      </c>
      <c r="E45" s="29"/>
      <c r="F45" s="31"/>
      <c r="G45" s="30"/>
      <c r="H45" s="13"/>
      <c r="I45" s="19"/>
      <c r="J45" s="14"/>
      <c r="K45" s="14"/>
      <c r="L45" s="14"/>
      <c r="M45" s="11"/>
      <c r="N45" s="12"/>
      <c r="O45" s="15"/>
      <c r="P45" s="12"/>
      <c r="Q45" s="16"/>
    </row>
    <row r="46" spans="1:17" ht="20.100000000000001" customHeight="1" x14ac:dyDescent="0.25">
      <c r="A46" s="12"/>
      <c r="B46" s="13"/>
      <c r="C46" s="32"/>
      <c r="D46" s="31" t="str">
        <f>IF(C46="","",IFERROR(VLOOKUP(C46,TSP_Code!$A$2:$B$15,2,FALSE),""))</f>
        <v/>
      </c>
      <c r="E46" s="29"/>
      <c r="F46" s="31"/>
      <c r="G46" s="30"/>
      <c r="H46" s="13"/>
      <c r="I46" s="19"/>
      <c r="J46" s="14"/>
      <c r="K46" s="14"/>
      <c r="L46" s="14"/>
      <c r="M46" s="11"/>
      <c r="N46" s="12"/>
      <c r="O46" s="15"/>
      <c r="P46" s="12"/>
      <c r="Q46" s="16"/>
    </row>
    <row r="47" spans="1:17" ht="20.100000000000001" customHeight="1" x14ac:dyDescent="0.25">
      <c r="A47" s="12"/>
      <c r="B47" s="13"/>
      <c r="C47" s="32"/>
      <c r="D47" s="31" t="str">
        <f>IF(C47="","",IFERROR(VLOOKUP(C47,TSP_Code!$A$2:$B$15,2,FALSE),""))</f>
        <v/>
      </c>
      <c r="E47" s="29"/>
      <c r="F47" s="31"/>
      <c r="G47" s="30"/>
      <c r="H47" s="13"/>
      <c r="I47" s="19"/>
      <c r="J47" s="14"/>
      <c r="K47" s="14"/>
      <c r="L47" s="14"/>
      <c r="M47" s="11"/>
      <c r="N47" s="12"/>
      <c r="O47" s="15"/>
      <c r="P47" s="12"/>
      <c r="Q47" s="16"/>
    </row>
    <row r="48" spans="1:17" ht="20.100000000000001" customHeight="1" x14ac:dyDescent="0.25">
      <c r="A48" s="12"/>
      <c r="B48" s="13"/>
      <c r="C48" s="32"/>
      <c r="D48" s="31" t="str">
        <f>IF(C48="","",IFERROR(VLOOKUP(C48,TSP_Code!$A$2:$B$15,2,FALSE),""))</f>
        <v/>
      </c>
      <c r="E48" s="29"/>
      <c r="F48" s="31"/>
      <c r="G48" s="30"/>
      <c r="H48" s="13"/>
      <c r="I48" s="19"/>
      <c r="J48" s="14"/>
      <c r="K48" s="14"/>
      <c r="L48" s="14"/>
      <c r="M48" s="11"/>
      <c r="N48" s="12"/>
      <c r="O48" s="15"/>
      <c r="P48" s="12"/>
      <c r="Q48" s="16"/>
    </row>
    <row r="49" spans="1:17" ht="20.100000000000001" customHeight="1" x14ac:dyDescent="0.25">
      <c r="A49" s="12"/>
      <c r="B49" s="13"/>
      <c r="C49" s="32"/>
      <c r="D49" s="31" t="str">
        <f>IF(C49="","",IFERROR(VLOOKUP(C49,TSP_Code!$A$2:$B$15,2,FALSE),""))</f>
        <v/>
      </c>
      <c r="E49" s="29"/>
      <c r="F49" s="31"/>
      <c r="G49" s="30"/>
      <c r="H49" s="13"/>
      <c r="I49" s="19"/>
      <c r="J49" s="14"/>
      <c r="K49" s="14"/>
      <c r="L49" s="14"/>
      <c r="M49" s="11"/>
      <c r="N49" s="12"/>
      <c r="O49" s="15"/>
      <c r="P49" s="12"/>
      <c r="Q49" s="16"/>
    </row>
    <row r="50" spans="1:17" ht="20.100000000000001" customHeight="1" x14ac:dyDescent="0.25">
      <c r="A50" s="12"/>
      <c r="B50" s="13"/>
      <c r="C50" s="32"/>
      <c r="D50" s="31" t="str">
        <f>IF(C50="","",IFERROR(VLOOKUP(C50,TSP_Code!$A$2:$B$15,2,FALSE),""))</f>
        <v/>
      </c>
      <c r="E50" s="29"/>
      <c r="F50" s="31"/>
      <c r="G50" s="30"/>
      <c r="H50" s="13"/>
      <c r="I50" s="19"/>
      <c r="J50" s="14"/>
      <c r="K50" s="14"/>
      <c r="L50" s="14"/>
      <c r="M50" s="11"/>
      <c r="N50" s="12"/>
      <c r="O50" s="15"/>
      <c r="P50" s="12"/>
      <c r="Q50" s="16"/>
    </row>
    <row r="51" spans="1:17" ht="20.100000000000001" customHeight="1" x14ac:dyDescent="0.25">
      <c r="A51" s="12"/>
      <c r="B51" s="13"/>
      <c r="C51" s="32"/>
      <c r="D51" s="31" t="str">
        <f>IF(C51="","",IFERROR(VLOOKUP(C51,TSP_Code!$A$2:$B$15,2,FALSE),""))</f>
        <v/>
      </c>
      <c r="E51" s="29"/>
      <c r="F51" s="31"/>
      <c r="G51" s="30"/>
      <c r="H51" s="13"/>
      <c r="I51" s="19"/>
      <c r="J51" s="14"/>
      <c r="K51" s="14"/>
      <c r="L51" s="14"/>
      <c r="M51" s="11"/>
      <c r="N51" s="12"/>
      <c r="O51" s="15"/>
      <c r="P51" s="12"/>
      <c r="Q51" s="16"/>
    </row>
    <row r="52" spans="1:17" ht="20.100000000000001" customHeight="1" x14ac:dyDescent="0.25">
      <c r="A52" s="12"/>
      <c r="B52" s="13"/>
      <c r="C52" s="32"/>
      <c r="D52" s="31" t="str">
        <f>IF(C52="","",IFERROR(VLOOKUP(C52,TSP_Code!$A$2:$B$15,2,FALSE),""))</f>
        <v/>
      </c>
      <c r="E52" s="29"/>
      <c r="F52" s="31"/>
      <c r="G52" s="30"/>
      <c r="H52" s="13"/>
      <c r="I52" s="19"/>
      <c r="J52" s="14"/>
      <c r="K52" s="14"/>
      <c r="L52" s="14"/>
      <c r="M52" s="11"/>
      <c r="N52" s="12"/>
      <c r="O52" s="15"/>
      <c r="P52" s="12"/>
      <c r="Q52" s="16"/>
    </row>
    <row r="53" spans="1:17" ht="20.100000000000001" customHeight="1" x14ac:dyDescent="0.25">
      <c r="A53" s="12"/>
      <c r="B53" s="13"/>
      <c r="C53" s="32"/>
      <c r="D53" s="31" t="str">
        <f>IF(C53="","",IFERROR(VLOOKUP(C53,TSP_Code!$A$2:$B$15,2,FALSE),""))</f>
        <v/>
      </c>
      <c r="E53" s="29"/>
      <c r="F53" s="31"/>
      <c r="G53" s="30"/>
      <c r="H53" s="13"/>
      <c r="I53" s="19"/>
      <c r="J53" s="14"/>
      <c r="K53" s="14"/>
      <c r="L53" s="14"/>
      <c r="M53" s="11"/>
      <c r="N53" s="12"/>
      <c r="O53" s="15"/>
      <c r="P53" s="12"/>
      <c r="Q53" s="16"/>
    </row>
    <row r="54" spans="1:17" ht="20.100000000000001" customHeight="1" x14ac:dyDescent="0.25">
      <c r="A54" s="12"/>
      <c r="B54" s="13"/>
      <c r="C54" s="32"/>
      <c r="D54" s="31" t="str">
        <f>IF(C54="","",IFERROR(VLOOKUP(C54,TSP_Code!$A$2:$B$15,2,FALSE),""))</f>
        <v/>
      </c>
      <c r="E54" s="29"/>
      <c r="F54" s="31"/>
      <c r="G54" s="30"/>
      <c r="H54" s="13"/>
      <c r="I54" s="19"/>
      <c r="J54" s="14"/>
      <c r="K54" s="14"/>
      <c r="L54" s="14"/>
      <c r="M54" s="11"/>
      <c r="N54" s="12"/>
      <c r="O54" s="15"/>
      <c r="P54" s="12"/>
      <c r="Q54" s="16"/>
    </row>
    <row r="55" spans="1:17" ht="20.100000000000001" customHeight="1" x14ac:dyDescent="0.25">
      <c r="A55" s="12"/>
      <c r="B55" s="13"/>
      <c r="C55" s="32"/>
      <c r="D55" s="31" t="str">
        <f>IF(C55="","",IFERROR(VLOOKUP(C55,TSP_Code!$A$2:$B$15,2,FALSE),""))</f>
        <v/>
      </c>
      <c r="E55" s="29"/>
      <c r="F55" s="31"/>
      <c r="G55" s="30"/>
      <c r="H55" s="13"/>
      <c r="I55" s="19"/>
      <c r="J55" s="14"/>
      <c r="K55" s="14"/>
      <c r="L55" s="14"/>
      <c r="M55" s="11"/>
      <c r="N55" s="12"/>
      <c r="O55" s="15"/>
      <c r="P55" s="12"/>
      <c r="Q55" s="16"/>
    </row>
    <row r="56" spans="1:17" ht="20.100000000000001" customHeight="1" x14ac:dyDescent="0.25">
      <c r="A56" s="12"/>
      <c r="B56" s="13"/>
      <c r="C56" s="32"/>
      <c r="D56" s="31" t="str">
        <f>IF(C56="","",IFERROR(VLOOKUP(C56,TSP_Code!$A$2:$B$15,2,FALSE),""))</f>
        <v/>
      </c>
      <c r="E56" s="29"/>
      <c r="F56" s="31"/>
      <c r="G56" s="30"/>
      <c r="H56" s="13"/>
      <c r="I56" s="19"/>
      <c r="J56" s="14"/>
      <c r="K56" s="14"/>
      <c r="L56" s="14"/>
      <c r="M56" s="11"/>
      <c r="N56" s="12"/>
      <c r="O56" s="15"/>
      <c r="P56" s="12"/>
      <c r="Q56" s="16"/>
    </row>
    <row r="57" spans="1:17" ht="20.100000000000001" customHeight="1" x14ac:dyDescent="0.25">
      <c r="A57" s="12"/>
      <c r="B57" s="13"/>
      <c r="C57" s="32"/>
      <c r="D57" s="31" t="str">
        <f>IF(C57="","",IFERROR(VLOOKUP(C57,TSP_Code!$A$2:$B$15,2,FALSE),""))</f>
        <v/>
      </c>
      <c r="E57" s="29"/>
      <c r="F57" s="31"/>
      <c r="G57" s="30"/>
      <c r="H57" s="13"/>
      <c r="I57" s="19"/>
      <c r="J57" s="14"/>
      <c r="K57" s="14"/>
      <c r="L57" s="14"/>
      <c r="M57" s="11"/>
      <c r="N57" s="12"/>
      <c r="O57" s="15"/>
      <c r="P57" s="12"/>
      <c r="Q57" s="16"/>
    </row>
    <row r="58" spans="1:17" ht="20.100000000000001" customHeight="1" x14ac:dyDescent="0.25">
      <c r="A58" s="12"/>
      <c r="B58" s="13"/>
      <c r="C58" s="32"/>
      <c r="D58" s="31" t="str">
        <f>IF(C58="","",IFERROR(VLOOKUP(C58,TSP_Code!$A$2:$B$15,2,FALSE),""))</f>
        <v/>
      </c>
      <c r="E58" s="29"/>
      <c r="F58" s="31"/>
      <c r="G58" s="30"/>
      <c r="H58" s="13"/>
      <c r="I58" s="19"/>
      <c r="J58" s="14"/>
      <c r="K58" s="14"/>
      <c r="L58" s="14"/>
      <c r="M58" s="11"/>
      <c r="N58" s="12"/>
      <c r="O58" s="15"/>
      <c r="P58" s="12"/>
      <c r="Q58" s="16"/>
    </row>
    <row r="59" spans="1:17" ht="20.100000000000001" customHeight="1" x14ac:dyDescent="0.25">
      <c r="A59" s="12"/>
      <c r="B59" s="13"/>
      <c r="C59" s="32"/>
      <c r="D59" s="31" t="str">
        <f>IF(C59="","",IFERROR(VLOOKUP(C59,TSP_Code!$A$2:$B$15,2,FALSE),""))</f>
        <v/>
      </c>
      <c r="E59" s="29"/>
      <c r="F59" s="31"/>
      <c r="G59" s="30"/>
      <c r="H59" s="13"/>
      <c r="I59" s="19"/>
      <c r="J59" s="14"/>
      <c r="K59" s="14"/>
      <c r="L59" s="14"/>
      <c r="M59" s="11"/>
      <c r="N59" s="12"/>
      <c r="O59" s="15"/>
      <c r="P59" s="12"/>
      <c r="Q59" s="16"/>
    </row>
    <row r="60" spans="1:17" ht="20.100000000000001" customHeight="1" x14ac:dyDescent="0.25">
      <c r="A60" s="12"/>
      <c r="B60" s="13"/>
      <c r="C60" s="32"/>
      <c r="D60" s="31" t="str">
        <f>IF(C60="","",IFERROR(VLOOKUP(C60,TSP_Code!$A$2:$B$15,2,FALSE),""))</f>
        <v/>
      </c>
      <c r="E60" s="29"/>
      <c r="F60" s="31"/>
      <c r="G60" s="30"/>
      <c r="H60" s="13"/>
      <c r="I60" s="19"/>
      <c r="J60" s="14"/>
      <c r="K60" s="14"/>
      <c r="L60" s="14"/>
      <c r="M60" s="11"/>
      <c r="N60" s="12"/>
      <c r="O60" s="15"/>
      <c r="P60" s="12"/>
      <c r="Q60" s="16"/>
    </row>
    <row r="61" spans="1:17" ht="20.100000000000001" customHeight="1" x14ac:dyDescent="0.25">
      <c r="A61" s="12"/>
      <c r="B61" s="13"/>
      <c r="C61" s="32"/>
      <c r="D61" s="31" t="str">
        <f>IF(C61="","",IFERROR(VLOOKUP(C61,TSP_Code!$A$2:$B$15,2,FALSE),""))</f>
        <v/>
      </c>
      <c r="E61" s="29"/>
      <c r="F61" s="31"/>
      <c r="G61" s="30"/>
      <c r="H61" s="13"/>
      <c r="I61" s="19"/>
      <c r="J61" s="14"/>
      <c r="K61" s="14"/>
      <c r="L61" s="14"/>
      <c r="M61" s="11"/>
      <c r="N61" s="12"/>
      <c r="O61" s="15"/>
      <c r="P61" s="12"/>
      <c r="Q61" s="16"/>
    </row>
    <row r="62" spans="1:17" ht="20.100000000000001" customHeight="1" x14ac:dyDescent="0.25">
      <c r="A62" s="12"/>
      <c r="B62" s="13"/>
      <c r="C62" s="32"/>
      <c r="D62" s="31" t="str">
        <f>IF(C62="","",IFERROR(VLOOKUP(C62,TSP_Code!$A$2:$B$15,2,FALSE),""))</f>
        <v/>
      </c>
      <c r="E62" s="29"/>
      <c r="F62" s="31"/>
      <c r="G62" s="30"/>
      <c r="H62" s="13"/>
      <c r="I62" s="19"/>
      <c r="J62" s="14"/>
      <c r="K62" s="14"/>
      <c r="L62" s="14"/>
      <c r="M62" s="11"/>
      <c r="N62" s="12"/>
      <c r="O62" s="15"/>
      <c r="P62" s="12"/>
      <c r="Q62" s="16"/>
    </row>
    <row r="63" spans="1:17" ht="20.100000000000001" customHeight="1" x14ac:dyDescent="0.25">
      <c r="A63" s="12"/>
      <c r="B63" s="13"/>
      <c r="C63" s="32"/>
      <c r="D63" s="31" t="str">
        <f>IF(C63="","",IFERROR(VLOOKUP(C63,TSP_Code!$A$2:$B$15,2,FALSE),""))</f>
        <v/>
      </c>
      <c r="E63" s="29"/>
      <c r="F63" s="31"/>
      <c r="G63" s="30"/>
      <c r="H63" s="13"/>
      <c r="I63" s="19"/>
      <c r="J63" s="14"/>
      <c r="K63" s="14"/>
      <c r="L63" s="14"/>
      <c r="M63" s="11"/>
      <c r="N63" s="12"/>
      <c r="O63" s="15"/>
      <c r="P63" s="12"/>
      <c r="Q63" s="16"/>
    </row>
    <row r="64" spans="1:17" ht="20.100000000000001" customHeight="1" x14ac:dyDescent="0.25">
      <c r="A64" s="12"/>
      <c r="B64" s="13"/>
      <c r="C64" s="32"/>
      <c r="D64" s="31" t="str">
        <f>IF(C64="","",IFERROR(VLOOKUP(C64,TSP_Code!$A$2:$B$15,2,FALSE),""))</f>
        <v/>
      </c>
      <c r="E64" s="29"/>
      <c r="F64" s="31"/>
      <c r="G64" s="30"/>
      <c r="H64" s="13"/>
      <c r="I64" s="19"/>
      <c r="J64" s="14"/>
      <c r="K64" s="14"/>
      <c r="L64" s="14"/>
      <c r="M64" s="11"/>
      <c r="N64" s="12"/>
      <c r="O64" s="15"/>
      <c r="P64" s="12"/>
      <c r="Q64" s="16"/>
    </row>
    <row r="65" spans="1:17" ht="20.100000000000001" customHeight="1" x14ac:dyDescent="0.25">
      <c r="A65" s="12"/>
      <c r="B65" s="13"/>
      <c r="C65" s="32"/>
      <c r="D65" s="31" t="str">
        <f>IF(C65="","",IFERROR(VLOOKUP(C65,TSP_Code!$A$2:$B$15,2,FALSE),""))</f>
        <v/>
      </c>
      <c r="E65" s="29"/>
      <c r="F65" s="31"/>
      <c r="G65" s="30"/>
      <c r="H65" s="13"/>
      <c r="I65" s="19"/>
      <c r="J65" s="14"/>
      <c r="K65" s="14"/>
      <c r="L65" s="14"/>
      <c r="M65" s="11"/>
      <c r="N65" s="12"/>
      <c r="O65" s="15"/>
      <c r="P65" s="12"/>
      <c r="Q65" s="16"/>
    </row>
    <row r="66" spans="1:17" ht="20.100000000000001" customHeight="1" x14ac:dyDescent="0.25">
      <c r="A66" s="12"/>
      <c r="B66" s="13"/>
      <c r="C66" s="32"/>
      <c r="D66" s="31" t="str">
        <f>IF(C66="","",IFERROR(VLOOKUP(C66,TSP_Code!$A$2:$B$15,2,FALSE),""))</f>
        <v/>
      </c>
      <c r="E66" s="29"/>
      <c r="F66" s="31"/>
      <c r="G66" s="30"/>
      <c r="H66" s="13"/>
      <c r="I66" s="19"/>
      <c r="J66" s="14"/>
      <c r="K66" s="14"/>
      <c r="L66" s="14"/>
      <c r="M66" s="11"/>
      <c r="N66" s="12"/>
      <c r="O66" s="15"/>
      <c r="P66" s="12"/>
      <c r="Q66" s="16"/>
    </row>
    <row r="67" spans="1:17" ht="20.100000000000001" customHeight="1" x14ac:dyDescent="0.25">
      <c r="A67" s="12"/>
      <c r="B67" s="13"/>
      <c r="C67" s="32"/>
      <c r="D67" s="31" t="str">
        <f>IF(C67="","",IFERROR(VLOOKUP(C67,TSP_Code!$A$2:$B$15,2,FALSE),""))</f>
        <v/>
      </c>
      <c r="E67" s="29"/>
      <c r="F67" s="31"/>
      <c r="G67" s="30"/>
      <c r="H67" s="13"/>
      <c r="I67" s="19"/>
      <c r="J67" s="14"/>
      <c r="K67" s="14"/>
      <c r="L67" s="14"/>
      <c r="M67" s="11"/>
      <c r="N67" s="12"/>
      <c r="O67" s="15"/>
      <c r="P67" s="12"/>
      <c r="Q67" s="16"/>
    </row>
    <row r="68" spans="1:17" ht="20.100000000000001" customHeight="1" x14ac:dyDescent="0.25">
      <c r="A68" s="12"/>
      <c r="B68" s="13"/>
      <c r="C68" s="32"/>
      <c r="D68" s="31" t="str">
        <f>IF(C68="","",IFERROR(VLOOKUP(C68,TSP_Code!$A$2:$B$15,2,FALSE),""))</f>
        <v/>
      </c>
      <c r="E68" s="29"/>
      <c r="F68" s="31"/>
      <c r="G68" s="30"/>
      <c r="H68" s="13"/>
      <c r="I68" s="19"/>
      <c r="J68" s="14"/>
      <c r="K68" s="14"/>
      <c r="L68" s="14"/>
      <c r="M68" s="11"/>
      <c r="N68" s="12"/>
      <c r="O68" s="15"/>
      <c r="P68" s="12"/>
      <c r="Q68" s="16"/>
    </row>
    <row r="69" spans="1:17" ht="20.100000000000001" customHeight="1" x14ac:dyDescent="0.25">
      <c r="A69" s="12"/>
      <c r="B69" s="13"/>
      <c r="C69" s="32"/>
      <c r="D69" s="31" t="str">
        <f>IF(C69="","",IFERROR(VLOOKUP(C69,TSP_Code!$A$2:$B$15,2,FALSE),""))</f>
        <v/>
      </c>
      <c r="E69" s="29"/>
      <c r="F69" s="31"/>
      <c r="G69" s="30"/>
      <c r="H69" s="13"/>
      <c r="I69" s="19"/>
      <c r="J69" s="14"/>
      <c r="K69" s="14"/>
      <c r="L69" s="14"/>
      <c r="M69" s="11"/>
      <c r="N69" s="12"/>
      <c r="O69" s="15"/>
      <c r="P69" s="12"/>
      <c r="Q69" s="16"/>
    </row>
    <row r="70" spans="1:17" ht="20.100000000000001" customHeight="1" x14ac:dyDescent="0.25">
      <c r="A70" s="12"/>
      <c r="B70" s="13"/>
      <c r="C70" s="32"/>
      <c r="D70" s="31" t="str">
        <f>IF(C70="","",IFERROR(VLOOKUP(C70,TSP_Code!$A$2:$B$15,2,FALSE),""))</f>
        <v/>
      </c>
      <c r="E70" s="29"/>
      <c r="F70" s="31"/>
      <c r="G70" s="30"/>
      <c r="H70" s="13"/>
      <c r="I70" s="19"/>
      <c r="J70" s="14"/>
      <c r="K70" s="14"/>
      <c r="L70" s="14"/>
      <c r="M70" s="11"/>
      <c r="N70" s="12"/>
      <c r="O70" s="15"/>
      <c r="P70" s="12"/>
      <c r="Q70" s="16"/>
    </row>
    <row r="71" spans="1:17" ht="20.100000000000001" customHeight="1" x14ac:dyDescent="0.25">
      <c r="A71" s="12"/>
      <c r="B71" s="13"/>
      <c r="C71" s="32"/>
      <c r="D71" s="31" t="str">
        <f>IF(C71="","",IFERROR(VLOOKUP(C71,TSP_Code!$A$2:$B$15,2,FALSE),""))</f>
        <v/>
      </c>
      <c r="E71" s="29"/>
      <c r="F71" s="31"/>
      <c r="G71" s="30"/>
      <c r="H71" s="13"/>
      <c r="I71" s="19"/>
      <c r="J71" s="14"/>
      <c r="K71" s="14"/>
      <c r="L71" s="14"/>
      <c r="M71" s="11"/>
      <c r="N71" s="12"/>
      <c r="O71" s="15"/>
      <c r="P71" s="12"/>
      <c r="Q71" s="16"/>
    </row>
    <row r="72" spans="1:17" ht="20.100000000000001" customHeight="1" x14ac:dyDescent="0.25">
      <c r="A72" s="12"/>
      <c r="B72" s="13"/>
      <c r="C72" s="32"/>
      <c r="D72" s="31" t="str">
        <f>IF(C72="","",IFERROR(VLOOKUP(C72,TSP_Code!$A$2:$B$15,2,FALSE),""))</f>
        <v/>
      </c>
      <c r="E72" s="29"/>
      <c r="F72" s="31"/>
      <c r="G72" s="30"/>
      <c r="H72" s="13"/>
      <c r="I72" s="19"/>
      <c r="J72" s="14"/>
      <c r="K72" s="14"/>
      <c r="L72" s="14"/>
      <c r="M72" s="11"/>
      <c r="N72" s="12"/>
      <c r="O72" s="15"/>
      <c r="P72" s="12"/>
      <c r="Q72" s="16"/>
    </row>
    <row r="73" spans="1:17" ht="20.100000000000001" customHeight="1" x14ac:dyDescent="0.25">
      <c r="A73" s="12"/>
      <c r="B73" s="13"/>
      <c r="C73" s="32"/>
      <c r="D73" s="31" t="str">
        <f>IF(C73="","",IFERROR(VLOOKUP(C73,TSP_Code!$A$2:$B$15,2,FALSE),""))</f>
        <v/>
      </c>
      <c r="E73" s="29"/>
      <c r="F73" s="31"/>
      <c r="G73" s="30"/>
      <c r="H73" s="13"/>
      <c r="I73" s="19"/>
      <c r="J73" s="14"/>
      <c r="K73" s="14"/>
      <c r="L73" s="14"/>
      <c r="M73" s="11"/>
      <c r="N73" s="12"/>
      <c r="O73" s="15"/>
      <c r="P73" s="12"/>
      <c r="Q73" s="16"/>
    </row>
    <row r="74" spans="1:17" ht="20.100000000000001" customHeight="1" x14ac:dyDescent="0.25">
      <c r="A74" s="12"/>
      <c r="B74" s="13"/>
      <c r="C74" s="32"/>
      <c r="D74" s="31" t="str">
        <f>IF(C74="","",IFERROR(VLOOKUP(C74,TSP_Code!$A$2:$B$15,2,FALSE),""))</f>
        <v/>
      </c>
      <c r="E74" s="29"/>
      <c r="F74" s="31"/>
      <c r="G74" s="30"/>
      <c r="H74" s="13"/>
      <c r="I74" s="19"/>
      <c r="J74" s="14"/>
      <c r="K74" s="14"/>
      <c r="L74" s="14"/>
      <c r="M74" s="11"/>
      <c r="N74" s="12"/>
      <c r="O74" s="15"/>
      <c r="P74" s="12"/>
      <c r="Q74" s="16"/>
    </row>
    <row r="75" spans="1:17" ht="20.100000000000001" customHeight="1" x14ac:dyDescent="0.25">
      <c r="A75" s="12"/>
      <c r="B75" s="13"/>
      <c r="C75" s="32"/>
      <c r="D75" s="31" t="str">
        <f>IF(C75="","",IFERROR(VLOOKUP(C75,TSP_Code!$A$2:$B$15,2,FALSE),""))</f>
        <v/>
      </c>
      <c r="E75" s="29"/>
      <c r="F75" s="31"/>
      <c r="G75" s="30"/>
      <c r="H75" s="13"/>
      <c r="I75" s="19"/>
      <c r="J75" s="14"/>
      <c r="K75" s="14"/>
      <c r="L75" s="14"/>
      <c r="M75" s="11"/>
      <c r="N75" s="12"/>
      <c r="O75" s="15"/>
      <c r="P75" s="12"/>
      <c r="Q75" s="16"/>
    </row>
    <row r="76" spans="1:17" ht="20.100000000000001" customHeight="1" x14ac:dyDescent="0.25">
      <c r="A76" s="12"/>
      <c r="B76" s="13"/>
      <c r="C76" s="32"/>
      <c r="D76" s="31" t="str">
        <f>IF(C76="","",IFERROR(VLOOKUP(C76,TSP_Code!$A$2:$B$15,2,FALSE),""))</f>
        <v/>
      </c>
      <c r="E76" s="29"/>
      <c r="F76" s="31"/>
      <c r="G76" s="30"/>
      <c r="H76" s="13"/>
      <c r="I76" s="19"/>
      <c r="J76" s="14"/>
      <c r="K76" s="14"/>
      <c r="L76" s="14"/>
      <c r="M76" s="11"/>
      <c r="N76" s="12"/>
      <c r="O76" s="15"/>
      <c r="P76" s="12"/>
      <c r="Q76" s="16"/>
    </row>
    <row r="77" spans="1:17" ht="20.100000000000001" customHeight="1" x14ac:dyDescent="0.25">
      <c r="A77" s="12"/>
      <c r="B77" s="13"/>
      <c r="C77" s="32"/>
      <c r="D77" s="31" t="str">
        <f>IF(C77="","",IFERROR(VLOOKUP(C77,TSP_Code!$A$2:$B$15,2,FALSE),""))</f>
        <v/>
      </c>
      <c r="E77" s="29"/>
      <c r="F77" s="31"/>
      <c r="G77" s="30"/>
      <c r="H77" s="13"/>
      <c r="I77" s="19"/>
      <c r="J77" s="14"/>
      <c r="K77" s="14"/>
      <c r="L77" s="14"/>
      <c r="M77" s="11"/>
      <c r="N77" s="12"/>
      <c r="O77" s="15"/>
      <c r="P77" s="12"/>
      <c r="Q77" s="16"/>
    </row>
    <row r="78" spans="1:17" ht="20.100000000000001" customHeight="1" x14ac:dyDescent="0.25">
      <c r="A78" s="12"/>
      <c r="B78" s="13"/>
      <c r="C78" s="32"/>
      <c r="D78" s="31" t="str">
        <f>IF(C78="","",IFERROR(VLOOKUP(C78,TSP_Code!$A$2:$B$15,2,FALSE),""))</f>
        <v/>
      </c>
      <c r="E78" s="29"/>
      <c r="F78" s="31"/>
      <c r="G78" s="30"/>
      <c r="H78" s="13"/>
      <c r="I78" s="19"/>
      <c r="J78" s="14"/>
      <c r="K78" s="14"/>
      <c r="L78" s="14"/>
      <c r="M78" s="11"/>
      <c r="N78" s="12"/>
      <c r="O78" s="15"/>
      <c r="P78" s="12"/>
      <c r="Q78" s="16"/>
    </row>
    <row r="79" spans="1:17" ht="20.100000000000001" customHeight="1" x14ac:dyDescent="0.25">
      <c r="A79" s="12"/>
      <c r="B79" s="13"/>
      <c r="C79" s="32"/>
      <c r="D79" s="31" t="str">
        <f>IF(C79="","",IFERROR(VLOOKUP(C79,TSP_Code!$A$2:$B$15,2,FALSE),""))</f>
        <v/>
      </c>
      <c r="E79" s="29"/>
      <c r="F79" s="31"/>
      <c r="G79" s="30"/>
      <c r="H79" s="13"/>
      <c r="I79" s="19"/>
      <c r="J79" s="14"/>
      <c r="K79" s="14"/>
      <c r="L79" s="14"/>
      <c r="M79" s="11"/>
      <c r="N79" s="12"/>
      <c r="O79" s="15"/>
      <c r="P79" s="12"/>
      <c r="Q79" s="16"/>
    </row>
    <row r="80" spans="1:17" ht="20.100000000000001" customHeight="1" x14ac:dyDescent="0.25">
      <c r="A80" s="12"/>
      <c r="B80" s="13"/>
      <c r="C80" s="32"/>
      <c r="D80" s="31" t="str">
        <f>IF(C80="","",IFERROR(VLOOKUP(C80,TSP_Code!$A$2:$B$15,2,FALSE),""))</f>
        <v/>
      </c>
      <c r="E80" s="29"/>
      <c r="F80" s="31"/>
      <c r="G80" s="30"/>
      <c r="H80" s="13"/>
      <c r="I80" s="19"/>
      <c r="J80" s="14"/>
      <c r="K80" s="14"/>
      <c r="L80" s="14"/>
      <c r="M80" s="11"/>
      <c r="N80" s="12"/>
      <c r="O80" s="15"/>
      <c r="P80" s="12"/>
      <c r="Q80" s="16"/>
    </row>
    <row r="81" spans="1:17" ht="20.100000000000001" customHeight="1" x14ac:dyDescent="0.25">
      <c r="A81" s="12"/>
      <c r="B81" s="13"/>
      <c r="C81" s="32"/>
      <c r="D81" s="31" t="str">
        <f>IF(C81="","",IFERROR(VLOOKUP(C81,TSP_Code!$A$2:$B$15,2,FALSE),""))</f>
        <v/>
      </c>
      <c r="E81" s="29"/>
      <c r="F81" s="31"/>
      <c r="G81" s="30"/>
      <c r="H81" s="13"/>
      <c r="I81" s="19"/>
      <c r="J81" s="14"/>
      <c r="K81" s="14"/>
      <c r="L81" s="14"/>
      <c r="M81" s="11"/>
      <c r="N81" s="12"/>
      <c r="O81" s="15"/>
      <c r="P81" s="12"/>
      <c r="Q81" s="16"/>
    </row>
    <row r="82" spans="1:17" ht="20.100000000000001" customHeight="1" x14ac:dyDescent="0.25">
      <c r="A82" s="12"/>
      <c r="B82" s="13"/>
      <c r="C82" s="32"/>
      <c r="D82" s="31" t="str">
        <f>IF(C82="","",IFERROR(VLOOKUP(C82,TSP_Code!$A$2:$B$15,2,FALSE),""))</f>
        <v/>
      </c>
      <c r="E82" s="29"/>
      <c r="F82" s="31"/>
      <c r="G82" s="30"/>
      <c r="H82" s="13"/>
      <c r="I82" s="19"/>
      <c r="J82" s="14"/>
      <c r="K82" s="14"/>
      <c r="L82" s="14"/>
      <c r="M82" s="11"/>
      <c r="N82" s="12"/>
      <c r="O82" s="15"/>
      <c r="P82" s="12"/>
      <c r="Q82" s="16"/>
    </row>
    <row r="83" spans="1:17" ht="20.100000000000001" customHeight="1" x14ac:dyDescent="0.25">
      <c r="A83" s="12"/>
      <c r="B83" s="13"/>
      <c r="C83" s="32"/>
      <c r="D83" s="31" t="str">
        <f>IF(C83="","",IFERROR(VLOOKUP(C83,TSP_Code!$A$2:$B$15,2,FALSE),""))</f>
        <v/>
      </c>
      <c r="E83" s="29"/>
      <c r="F83" s="31"/>
      <c r="G83" s="30"/>
      <c r="H83" s="13"/>
      <c r="I83" s="19"/>
      <c r="J83" s="14"/>
      <c r="K83" s="14"/>
      <c r="L83" s="14"/>
      <c r="M83" s="11"/>
      <c r="N83" s="12"/>
      <c r="O83" s="15"/>
      <c r="P83" s="12"/>
      <c r="Q83" s="16"/>
    </row>
    <row r="84" spans="1:17" ht="20.100000000000001" customHeight="1" x14ac:dyDescent="0.25">
      <c r="A84" s="12"/>
      <c r="B84" s="13"/>
      <c r="C84" s="32"/>
      <c r="D84" s="31" t="str">
        <f>IF(C84="","",IFERROR(VLOOKUP(C84,TSP_Code!$A$2:$B$15,2,FALSE),""))</f>
        <v/>
      </c>
      <c r="E84" s="29"/>
      <c r="F84" s="31"/>
      <c r="G84" s="30"/>
      <c r="H84" s="13"/>
      <c r="I84" s="19"/>
      <c r="J84" s="14"/>
      <c r="K84" s="14"/>
      <c r="L84" s="14"/>
      <c r="M84" s="11"/>
      <c r="N84" s="12"/>
      <c r="O84" s="15"/>
      <c r="P84" s="12"/>
      <c r="Q84" s="16"/>
    </row>
    <row r="85" spans="1:17" ht="20.100000000000001" customHeight="1" x14ac:dyDescent="0.25">
      <c r="A85" s="12"/>
      <c r="B85" s="13"/>
      <c r="C85" s="32"/>
      <c r="D85" s="31" t="str">
        <f>IF(C85="","",IFERROR(VLOOKUP(C85,TSP_Code!$A$2:$B$15,2,FALSE),""))</f>
        <v/>
      </c>
      <c r="E85" s="29"/>
      <c r="F85" s="31"/>
      <c r="G85" s="30"/>
      <c r="H85" s="13"/>
      <c r="I85" s="19"/>
      <c r="J85" s="14"/>
      <c r="K85" s="14"/>
      <c r="L85" s="14"/>
      <c r="M85" s="11"/>
      <c r="N85" s="12"/>
      <c r="O85" s="15"/>
      <c r="P85" s="12"/>
      <c r="Q85" s="16"/>
    </row>
    <row r="86" spans="1:17" ht="20.100000000000001" customHeight="1" x14ac:dyDescent="0.25">
      <c r="A86" s="12"/>
      <c r="B86" s="13"/>
      <c r="C86" s="32"/>
      <c r="D86" s="31" t="str">
        <f>IF(C86="","",IFERROR(VLOOKUP(C86,TSP_Code!$A$2:$B$15,2,FALSE),""))</f>
        <v/>
      </c>
      <c r="E86" s="29"/>
      <c r="F86" s="31"/>
      <c r="G86" s="30"/>
      <c r="H86" s="13"/>
      <c r="I86" s="19"/>
      <c r="J86" s="14"/>
      <c r="K86" s="14"/>
      <c r="L86" s="14"/>
      <c r="M86" s="11"/>
      <c r="N86" s="12"/>
      <c r="O86" s="15"/>
      <c r="P86" s="12"/>
      <c r="Q86" s="16"/>
    </row>
    <row r="87" spans="1:17" ht="20.100000000000001" customHeight="1" x14ac:dyDescent="0.25">
      <c r="A87" s="12"/>
      <c r="B87" s="13"/>
      <c r="C87" s="32"/>
      <c r="D87" s="31" t="str">
        <f>IF(C87="","",IFERROR(VLOOKUP(C87,TSP_Code!$A$2:$B$15,2,FALSE),""))</f>
        <v/>
      </c>
      <c r="E87" s="29"/>
      <c r="F87" s="31"/>
      <c r="G87" s="30"/>
      <c r="H87" s="13"/>
      <c r="I87" s="19"/>
      <c r="J87" s="14"/>
      <c r="K87" s="14"/>
      <c r="L87" s="14"/>
      <c r="M87" s="11"/>
      <c r="N87" s="12"/>
      <c r="O87" s="15"/>
      <c r="P87" s="12"/>
      <c r="Q87" s="16"/>
    </row>
    <row r="88" spans="1:17" ht="20.100000000000001" customHeight="1" x14ac:dyDescent="0.25">
      <c r="A88" s="12"/>
      <c r="B88" s="13"/>
      <c r="C88" s="32"/>
      <c r="D88" s="31" t="str">
        <f>IF(C88="","",IFERROR(VLOOKUP(C88,TSP_Code!$A$2:$B$15,2,FALSE),""))</f>
        <v/>
      </c>
      <c r="E88" s="29"/>
      <c r="F88" s="31"/>
      <c r="G88" s="30"/>
      <c r="H88" s="13"/>
      <c r="I88" s="19"/>
      <c r="J88" s="14"/>
      <c r="K88" s="14"/>
      <c r="L88" s="14"/>
      <c r="M88" s="11"/>
      <c r="N88" s="12"/>
      <c r="O88" s="15"/>
      <c r="P88" s="12"/>
      <c r="Q88" s="16"/>
    </row>
    <row r="89" spans="1:17" ht="20.100000000000001" customHeight="1" x14ac:dyDescent="0.25">
      <c r="A89" s="12"/>
      <c r="B89" s="13"/>
      <c r="C89" s="32"/>
      <c r="D89" s="31" t="str">
        <f>IF(C89="","",IFERROR(VLOOKUP(C89,TSP_Code!$A$2:$B$15,2,FALSE),""))</f>
        <v/>
      </c>
      <c r="E89" s="29"/>
      <c r="F89" s="31"/>
      <c r="G89" s="30"/>
      <c r="H89" s="13"/>
      <c r="I89" s="19"/>
      <c r="J89" s="14"/>
      <c r="K89" s="14"/>
      <c r="L89" s="14"/>
      <c r="M89" s="11"/>
      <c r="N89" s="12"/>
      <c r="O89" s="15"/>
      <c r="P89" s="12"/>
      <c r="Q89" s="16"/>
    </row>
  </sheetData>
  <protectedRanges>
    <protectedRange sqref="G5:G89" name="Range1_1"/>
  </protectedRanges>
  <mergeCells count="4">
    <mergeCell ref="A1:Q1"/>
    <mergeCell ref="A2:H2"/>
    <mergeCell ref="A3:H3"/>
    <mergeCell ref="C4:G4"/>
  </mergeCells>
  <phoneticPr fontId="4" type="noConversion"/>
  <dataValidations count="4">
    <dataValidation type="list" allowBlank="1" showInputMessage="1" showErrorMessage="1" sqref="L5:L89" xr:uid="{00000000-0002-0000-0000-000000000000}">
      <formula1>months</formula1>
    </dataValidation>
    <dataValidation type="custom" allowBlank="1" showInputMessage="1" showErrorMessage="1" errorTitle="Internal Revenue Department" error="Do not allow!" sqref="G5:G89" xr:uid="{00000000-0002-0000-0000-000001000000}">
      <formula1>AND(LEN(G5)=6,AND(ISNUMBER(SUMPRODUCT(SEARCH(MID(G5,ROW(INDIRECT("1:"&amp;LEN(G5))),1),"0123456789"))),NOT(ISNUMBER(SUMPRODUCT(SEARCH("~~",G5)))),NOT(ISNUMBER(SUMPRODUCT(SEARCH("~*",G5)))),NOT(ISNUMBER(SUMPRODUCT(SEARCH("~?",G5))))))</formula1>
    </dataValidation>
    <dataValidation type="list" allowBlank="1" showInputMessage="1" showErrorMessage="1" errorTitle="Internal Revenue Department" error="Do not allow!" sqref="F5:F89" xr:uid="{00000000-0002-0000-0000-000002000000}">
      <formula1>"(N),(E),(P)"</formula1>
    </dataValidation>
    <dataValidation type="list" allowBlank="1" showInputMessage="1" showErrorMessage="1" errorTitle="Internal Revenue Department" error="Do not allow!" sqref="E5:E89" xr:uid="{00000000-0002-0000-0000-000003000000}">
      <formula1>INDIRECT(D5)</formula1>
    </dataValidation>
  </dataValidations>
  <pageMargins left="0.28999999999999998" right="0.25" top="0.37" bottom="0.25" header="0.25" footer="0.25"/>
  <pageSetup paperSize="5" orientation="landscape" r:id="rId1"/>
  <headerFooter>
    <oddFooter>Page &amp;P&amp;R&amp;A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ternal Revenue Department" error="Do not allow!" xr:uid="{00000000-0002-0000-0000-000004000000}">
          <x14:formula1>
            <xm:f>INDIRECT(TSP_Code!$A$1)</xm:f>
          </x14:formula1>
          <xm:sqref>C5:C89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13"/>
  <sheetViews>
    <sheetView workbookViewId="0">
      <selection activeCell="C21" sqref="C21"/>
    </sheetView>
  </sheetViews>
  <sheetFormatPr defaultRowHeight="15" x14ac:dyDescent="0.25"/>
  <sheetData>
    <row r="2" spans="2:2" x14ac:dyDescent="0.25">
      <c r="B2" t="s">
        <v>23</v>
      </c>
    </row>
    <row r="3" spans="2:2" x14ac:dyDescent="0.25">
      <c r="B3" t="s">
        <v>24</v>
      </c>
    </row>
    <row r="4" spans="2:2" x14ac:dyDescent="0.25">
      <c r="B4" t="s">
        <v>25</v>
      </c>
    </row>
    <row r="5" spans="2:2" x14ac:dyDescent="0.25">
      <c r="B5" t="s">
        <v>21</v>
      </c>
    </row>
    <row r="6" spans="2:2" x14ac:dyDescent="0.25">
      <c r="B6" t="s">
        <v>22</v>
      </c>
    </row>
    <row r="7" spans="2:2" x14ac:dyDescent="0.25">
      <c r="B7" t="s">
        <v>26</v>
      </c>
    </row>
    <row r="8" spans="2:2" x14ac:dyDescent="0.25">
      <c r="B8" t="s">
        <v>27</v>
      </c>
    </row>
    <row r="9" spans="2:2" x14ac:dyDescent="0.25">
      <c r="B9" t="s">
        <v>28</v>
      </c>
    </row>
    <row r="10" spans="2:2" x14ac:dyDescent="0.25">
      <c r="B10" t="s">
        <v>29</v>
      </c>
    </row>
    <row r="11" spans="2:2" x14ac:dyDescent="0.25">
      <c r="B11" t="s">
        <v>30</v>
      </c>
    </row>
    <row r="12" spans="2:2" x14ac:dyDescent="0.25">
      <c r="B12" t="s">
        <v>31</v>
      </c>
    </row>
    <row r="13" spans="2:2" x14ac:dyDescent="0.25">
      <c r="B13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441"/>
  <sheetViews>
    <sheetView topLeftCell="T421" workbookViewId="0">
      <selection activeCell="AM441" sqref="AM441"/>
    </sheetView>
  </sheetViews>
  <sheetFormatPr defaultRowHeight="15" x14ac:dyDescent="0.25"/>
  <cols>
    <col min="1" max="1" width="16.5703125" style="33" customWidth="1"/>
    <col min="2" max="2" width="16.140625" style="33" customWidth="1"/>
    <col min="3" max="3" width="9.140625" style="33"/>
    <col min="4" max="17" width="16.5703125" style="33" customWidth="1"/>
    <col min="18" max="16384" width="9.140625" style="33"/>
  </cols>
  <sheetData>
    <row r="1" spans="1:17" x14ac:dyDescent="0.25">
      <c r="A1" s="33" t="s">
        <v>373</v>
      </c>
      <c r="D1" s="34" t="s">
        <v>11</v>
      </c>
      <c r="E1" s="34" t="s">
        <v>42</v>
      </c>
      <c r="F1" s="34" t="s">
        <v>43</v>
      </c>
      <c r="G1" s="34" t="s">
        <v>44</v>
      </c>
      <c r="H1" s="34" t="s">
        <v>45</v>
      </c>
      <c r="I1" s="34" t="s">
        <v>387</v>
      </c>
      <c r="J1" s="34" t="s">
        <v>388</v>
      </c>
      <c r="K1" s="34" t="s">
        <v>389</v>
      </c>
      <c r="L1" s="34" t="s">
        <v>390</v>
      </c>
      <c r="M1" s="34" t="s">
        <v>391</v>
      </c>
      <c r="N1" s="34" t="s">
        <v>392</v>
      </c>
      <c r="O1" s="34" t="s">
        <v>393</v>
      </c>
      <c r="P1" s="34" t="s">
        <v>394</v>
      </c>
      <c r="Q1" s="34" t="s">
        <v>395</v>
      </c>
    </row>
    <row r="2" spans="1:17" x14ac:dyDescent="0.25">
      <c r="A2" s="33">
        <v>1</v>
      </c>
      <c r="B2" s="33" t="s">
        <v>374</v>
      </c>
      <c r="D2" s="35" t="s">
        <v>46</v>
      </c>
      <c r="E2" s="35" t="s">
        <v>74</v>
      </c>
      <c r="F2" s="35" t="s">
        <v>81</v>
      </c>
      <c r="G2" s="36" t="s">
        <v>100</v>
      </c>
      <c r="H2" s="35" t="s">
        <v>113</v>
      </c>
      <c r="I2" s="36" t="s">
        <v>155</v>
      </c>
      <c r="J2" s="35" t="s">
        <v>171</v>
      </c>
      <c r="K2" s="35" t="s">
        <v>199</v>
      </c>
      <c r="L2" s="35" t="s">
        <v>217</v>
      </c>
      <c r="M2" s="36" t="s">
        <v>250</v>
      </c>
      <c r="N2" s="35" t="s">
        <v>259</v>
      </c>
      <c r="O2" s="35" t="s">
        <v>199</v>
      </c>
      <c r="P2" s="36" t="s">
        <v>304</v>
      </c>
      <c r="Q2" s="35" t="s">
        <v>351</v>
      </c>
    </row>
    <row r="3" spans="1:17" x14ac:dyDescent="0.25">
      <c r="A3" s="33">
        <v>2</v>
      </c>
      <c r="B3" s="33" t="s">
        <v>375</v>
      </c>
      <c r="D3" s="35" t="s">
        <v>47</v>
      </c>
      <c r="E3" s="35" t="s">
        <v>75</v>
      </c>
      <c r="F3" s="35" t="s">
        <v>82</v>
      </c>
      <c r="G3" s="36" t="s">
        <v>101</v>
      </c>
      <c r="H3" s="35" t="s">
        <v>114</v>
      </c>
      <c r="I3" s="36" t="s">
        <v>156</v>
      </c>
      <c r="J3" s="35" t="s">
        <v>113</v>
      </c>
      <c r="K3" s="35" t="s">
        <v>200</v>
      </c>
      <c r="L3" s="35" t="s">
        <v>218</v>
      </c>
      <c r="M3" s="36" t="s">
        <v>202</v>
      </c>
      <c r="N3" s="35" t="s">
        <v>260</v>
      </c>
      <c r="O3" s="35" t="s">
        <v>273</v>
      </c>
      <c r="P3" s="36" t="s">
        <v>113</v>
      </c>
      <c r="Q3" s="35" t="s">
        <v>259</v>
      </c>
    </row>
    <row r="4" spans="1:17" x14ac:dyDescent="0.25">
      <c r="A4" s="33">
        <v>3</v>
      </c>
      <c r="B4" s="33" t="s">
        <v>376</v>
      </c>
      <c r="D4" s="35" t="s">
        <v>48</v>
      </c>
      <c r="E4" s="35" t="s">
        <v>76</v>
      </c>
      <c r="F4" s="35" t="s">
        <v>83</v>
      </c>
      <c r="G4" s="36" t="s">
        <v>102</v>
      </c>
      <c r="H4" s="35" t="s">
        <v>115</v>
      </c>
      <c r="I4" s="36" t="s">
        <v>157</v>
      </c>
      <c r="J4" s="35" t="s">
        <v>172</v>
      </c>
      <c r="K4" s="35" t="s">
        <v>201</v>
      </c>
      <c r="L4" s="35" t="s">
        <v>219</v>
      </c>
      <c r="M4" s="36" t="s">
        <v>251</v>
      </c>
      <c r="N4" s="35" t="s">
        <v>261</v>
      </c>
      <c r="O4" s="35" t="s">
        <v>274</v>
      </c>
      <c r="P4" s="36" t="s">
        <v>305</v>
      </c>
      <c r="Q4" s="35" t="s">
        <v>352</v>
      </c>
    </row>
    <row r="5" spans="1:17" x14ac:dyDescent="0.25">
      <c r="A5" s="33">
        <v>4</v>
      </c>
      <c r="B5" s="33" t="s">
        <v>377</v>
      </c>
      <c r="D5" s="35" t="s">
        <v>49</v>
      </c>
      <c r="E5" s="35" t="s">
        <v>60</v>
      </c>
      <c r="F5" s="35" t="s">
        <v>84</v>
      </c>
      <c r="G5" s="36" t="s">
        <v>103</v>
      </c>
      <c r="H5" s="35" t="s">
        <v>116</v>
      </c>
      <c r="I5" s="36" t="s">
        <v>158</v>
      </c>
      <c r="J5" s="35" t="s">
        <v>173</v>
      </c>
      <c r="K5" s="35" t="s">
        <v>202</v>
      </c>
      <c r="L5" s="35" t="s">
        <v>220</v>
      </c>
      <c r="M5" s="36" t="s">
        <v>252</v>
      </c>
      <c r="N5" s="35" t="s">
        <v>262</v>
      </c>
      <c r="O5" s="35" t="s">
        <v>275</v>
      </c>
      <c r="P5" s="36" t="s">
        <v>306</v>
      </c>
      <c r="Q5" s="35" t="s">
        <v>83</v>
      </c>
    </row>
    <row r="6" spans="1:17" x14ac:dyDescent="0.25">
      <c r="A6" s="33">
        <v>5</v>
      </c>
      <c r="B6" s="33" t="s">
        <v>378</v>
      </c>
      <c r="D6" s="35" t="s">
        <v>50</v>
      </c>
      <c r="E6" s="35" t="s">
        <v>77</v>
      </c>
      <c r="F6" s="35" t="s">
        <v>85</v>
      </c>
      <c r="G6" s="36" t="s">
        <v>104</v>
      </c>
      <c r="H6" s="35" t="s">
        <v>117</v>
      </c>
      <c r="I6" s="36" t="s">
        <v>129</v>
      </c>
      <c r="J6" s="35" t="s">
        <v>174</v>
      </c>
      <c r="K6" s="35" t="s">
        <v>48</v>
      </c>
      <c r="L6" s="35" t="s">
        <v>48</v>
      </c>
      <c r="M6" s="36" t="s">
        <v>253</v>
      </c>
      <c r="N6" s="35" t="s">
        <v>263</v>
      </c>
      <c r="O6" s="35" t="s">
        <v>276</v>
      </c>
      <c r="P6" s="36" t="s">
        <v>307</v>
      </c>
      <c r="Q6" s="35" t="s">
        <v>353</v>
      </c>
    </row>
    <row r="7" spans="1:17" x14ac:dyDescent="0.25">
      <c r="A7" s="33">
        <v>6</v>
      </c>
      <c r="B7" s="33" t="s">
        <v>379</v>
      </c>
      <c r="D7" s="35" t="s">
        <v>51</v>
      </c>
      <c r="E7" s="35" t="s">
        <v>78</v>
      </c>
      <c r="F7" s="35" t="s">
        <v>86</v>
      </c>
      <c r="G7" s="36" t="s">
        <v>105</v>
      </c>
      <c r="H7" s="35" t="s">
        <v>118</v>
      </c>
      <c r="I7" s="36" t="s">
        <v>159</v>
      </c>
      <c r="J7" s="35" t="s">
        <v>175</v>
      </c>
      <c r="K7" s="35" t="s">
        <v>203</v>
      </c>
      <c r="L7" s="35" t="s">
        <v>49</v>
      </c>
      <c r="M7" s="36" t="s">
        <v>254</v>
      </c>
      <c r="N7" s="35" t="s">
        <v>264</v>
      </c>
      <c r="O7" s="35" t="s">
        <v>277</v>
      </c>
      <c r="P7" s="36" t="s">
        <v>47</v>
      </c>
      <c r="Q7" s="35" t="s">
        <v>354</v>
      </c>
    </row>
    <row r="8" spans="1:17" x14ac:dyDescent="0.25">
      <c r="A8" s="33">
        <v>7</v>
      </c>
      <c r="B8" s="33" t="s">
        <v>380</v>
      </c>
      <c r="D8" s="35" t="s">
        <v>52</v>
      </c>
      <c r="E8" s="35" t="s">
        <v>79</v>
      </c>
      <c r="F8" s="35" t="s">
        <v>87</v>
      </c>
      <c r="G8" s="36" t="s">
        <v>106</v>
      </c>
      <c r="H8" s="35" t="s">
        <v>119</v>
      </c>
      <c r="I8" s="36" t="s">
        <v>160</v>
      </c>
      <c r="J8" s="35" t="s">
        <v>176</v>
      </c>
      <c r="K8" s="35" t="s">
        <v>204</v>
      </c>
      <c r="L8" s="35" t="s">
        <v>158</v>
      </c>
      <c r="M8" s="36" t="s">
        <v>255</v>
      </c>
      <c r="N8" s="35" t="s">
        <v>162</v>
      </c>
      <c r="O8" s="35" t="s">
        <v>278</v>
      </c>
      <c r="P8" s="36" t="s">
        <v>308</v>
      </c>
      <c r="Q8" s="35" t="s">
        <v>355</v>
      </c>
    </row>
    <row r="9" spans="1:17" x14ac:dyDescent="0.25">
      <c r="A9" s="33">
        <v>8</v>
      </c>
      <c r="B9" s="33" t="s">
        <v>381</v>
      </c>
      <c r="D9" s="35" t="s">
        <v>53</v>
      </c>
      <c r="E9" s="35" t="s">
        <v>80</v>
      </c>
      <c r="F9" s="35" t="s">
        <v>88</v>
      </c>
      <c r="G9" s="36" t="s">
        <v>107</v>
      </c>
      <c r="H9" s="35" t="s">
        <v>120</v>
      </c>
      <c r="I9" s="36" t="s">
        <v>161</v>
      </c>
      <c r="J9" s="35" t="s">
        <v>177</v>
      </c>
      <c r="K9" s="35" t="s">
        <v>205</v>
      </c>
      <c r="L9" s="35" t="s">
        <v>221</v>
      </c>
      <c r="M9" s="36" t="s">
        <v>180</v>
      </c>
      <c r="N9" s="35" t="s">
        <v>265</v>
      </c>
      <c r="O9" s="35" t="s">
        <v>279</v>
      </c>
      <c r="P9" s="36" t="s">
        <v>309</v>
      </c>
      <c r="Q9" s="35" t="s">
        <v>356</v>
      </c>
    </row>
    <row r="10" spans="1:17" x14ac:dyDescent="0.25">
      <c r="A10" s="33">
        <v>9</v>
      </c>
      <c r="B10" s="33" t="s">
        <v>382</v>
      </c>
      <c r="D10" s="35" t="s">
        <v>54</v>
      </c>
      <c r="F10" s="35" t="s">
        <v>89</v>
      </c>
      <c r="G10" s="36" t="s">
        <v>108</v>
      </c>
      <c r="H10" s="35" t="s">
        <v>121</v>
      </c>
      <c r="I10" s="36" t="s">
        <v>162</v>
      </c>
      <c r="J10" s="35" t="s">
        <v>178</v>
      </c>
      <c r="K10" s="35" t="s">
        <v>54</v>
      </c>
      <c r="L10" s="35" t="s">
        <v>222</v>
      </c>
      <c r="M10" s="36" t="s">
        <v>256</v>
      </c>
      <c r="N10" s="35" t="s">
        <v>266</v>
      </c>
      <c r="O10" s="35" t="s">
        <v>280</v>
      </c>
      <c r="P10" s="36" t="s">
        <v>174</v>
      </c>
      <c r="Q10" s="35" t="s">
        <v>357</v>
      </c>
    </row>
    <row r="11" spans="1:17" x14ac:dyDescent="0.25">
      <c r="A11" s="33">
        <v>10</v>
      </c>
      <c r="B11" s="33" t="s">
        <v>383</v>
      </c>
      <c r="D11" s="35" t="s">
        <v>55</v>
      </c>
      <c r="F11" s="35" t="s">
        <v>90</v>
      </c>
      <c r="G11" s="36" t="s">
        <v>109</v>
      </c>
      <c r="H11" s="35" t="s">
        <v>122</v>
      </c>
      <c r="I11" s="36" t="s">
        <v>163</v>
      </c>
      <c r="J11" s="35" t="s">
        <v>179</v>
      </c>
      <c r="K11" s="35" t="s">
        <v>57</v>
      </c>
      <c r="L11" s="35" t="s">
        <v>223</v>
      </c>
      <c r="M11" s="36" t="s">
        <v>185</v>
      </c>
      <c r="N11" s="35" t="s">
        <v>267</v>
      </c>
      <c r="O11" s="35" t="s">
        <v>281</v>
      </c>
      <c r="P11" s="36" t="s">
        <v>102</v>
      </c>
      <c r="Q11" s="35" t="s">
        <v>174</v>
      </c>
    </row>
    <row r="12" spans="1:17" x14ac:dyDescent="0.25">
      <c r="A12" s="33">
        <v>11</v>
      </c>
      <c r="B12" s="33" t="s">
        <v>384</v>
      </c>
      <c r="D12" s="35" t="s">
        <v>56</v>
      </c>
      <c r="F12" s="35" t="s">
        <v>91</v>
      </c>
      <c r="G12" s="36" t="s">
        <v>110</v>
      </c>
      <c r="H12" s="35" t="s">
        <v>123</v>
      </c>
      <c r="I12" s="36" t="s">
        <v>58</v>
      </c>
      <c r="J12" s="35" t="s">
        <v>180</v>
      </c>
      <c r="K12" s="35" t="s">
        <v>58</v>
      </c>
      <c r="L12" s="35" t="s">
        <v>224</v>
      </c>
      <c r="M12" s="36" t="s">
        <v>257</v>
      </c>
      <c r="N12" s="35" t="s">
        <v>268</v>
      </c>
      <c r="O12" s="35" t="s">
        <v>282</v>
      </c>
      <c r="P12" s="36" t="s">
        <v>310</v>
      </c>
      <c r="Q12" s="35" t="s">
        <v>102</v>
      </c>
    </row>
    <row r="13" spans="1:17" x14ac:dyDescent="0.25">
      <c r="A13" s="33">
        <v>12</v>
      </c>
      <c r="B13" s="33" t="s">
        <v>10</v>
      </c>
      <c r="D13" s="35" t="s">
        <v>57</v>
      </c>
      <c r="F13" s="35" t="s">
        <v>92</v>
      </c>
      <c r="G13" s="36" t="s">
        <v>111</v>
      </c>
      <c r="H13" s="35" t="s">
        <v>124</v>
      </c>
      <c r="I13" s="36" t="s">
        <v>104</v>
      </c>
      <c r="J13" s="35" t="s">
        <v>57</v>
      </c>
      <c r="K13" s="35" t="s">
        <v>104</v>
      </c>
      <c r="L13" s="35" t="s">
        <v>225</v>
      </c>
      <c r="M13" s="36" t="s">
        <v>258</v>
      </c>
      <c r="N13" s="35" t="s">
        <v>188</v>
      </c>
      <c r="O13" s="35" t="s">
        <v>173</v>
      </c>
      <c r="P13" s="36" t="s">
        <v>124</v>
      </c>
      <c r="Q13" s="35" t="s">
        <v>125</v>
      </c>
    </row>
    <row r="14" spans="1:17" x14ac:dyDescent="0.25">
      <c r="A14" s="33">
        <v>13</v>
      </c>
      <c r="B14" s="33" t="s">
        <v>385</v>
      </c>
      <c r="D14" s="35" t="s">
        <v>58</v>
      </c>
      <c r="F14" s="35" t="s">
        <v>93</v>
      </c>
      <c r="G14" s="36" t="s">
        <v>112</v>
      </c>
      <c r="H14" s="35" t="s">
        <v>125</v>
      </c>
      <c r="I14" s="36" t="s">
        <v>164</v>
      </c>
      <c r="J14" s="35" t="s">
        <v>59</v>
      </c>
      <c r="K14" s="35" t="s">
        <v>138</v>
      </c>
      <c r="L14" s="35" t="s">
        <v>54</v>
      </c>
      <c r="M14" s="36" t="s">
        <v>214</v>
      </c>
      <c r="N14" s="35" t="s">
        <v>186</v>
      </c>
      <c r="O14" s="35" t="s">
        <v>283</v>
      </c>
      <c r="P14" s="36" t="s">
        <v>125</v>
      </c>
      <c r="Q14" s="35" t="s">
        <v>358</v>
      </c>
    </row>
    <row r="15" spans="1:17" x14ac:dyDescent="0.25">
      <c r="A15" s="33">
        <v>14</v>
      </c>
      <c r="B15" s="33" t="s">
        <v>386</v>
      </c>
      <c r="D15" s="35" t="s">
        <v>59</v>
      </c>
      <c r="F15" s="35" t="s">
        <v>94</v>
      </c>
      <c r="G15" s="35"/>
      <c r="H15" s="35" t="s">
        <v>126</v>
      </c>
      <c r="I15" s="36" t="s">
        <v>165</v>
      </c>
      <c r="J15" s="35" t="s">
        <v>181</v>
      </c>
      <c r="K15" s="35" t="s">
        <v>61</v>
      </c>
      <c r="L15" s="35" t="s">
        <v>226</v>
      </c>
      <c r="N15" s="35" t="s">
        <v>269</v>
      </c>
      <c r="O15" s="35" t="s">
        <v>284</v>
      </c>
      <c r="P15" s="36" t="s">
        <v>126</v>
      </c>
      <c r="Q15" s="35" t="s">
        <v>255</v>
      </c>
    </row>
    <row r="16" spans="1:17" x14ac:dyDescent="0.25">
      <c r="D16" s="35" t="s">
        <v>60</v>
      </c>
      <c r="F16" s="35" t="s">
        <v>95</v>
      </c>
      <c r="G16" s="35"/>
      <c r="H16" s="35" t="s">
        <v>127</v>
      </c>
      <c r="I16" s="36" t="s">
        <v>143</v>
      </c>
      <c r="J16" s="35" t="s">
        <v>182</v>
      </c>
      <c r="K16" s="35" t="s">
        <v>206</v>
      </c>
      <c r="L16" s="35" t="s">
        <v>57</v>
      </c>
      <c r="N16" s="35" t="s">
        <v>270</v>
      </c>
      <c r="O16" s="35" t="s">
        <v>48</v>
      </c>
      <c r="P16" s="36" t="s">
        <v>48</v>
      </c>
      <c r="Q16" s="35" t="s">
        <v>179</v>
      </c>
    </row>
    <row r="17" spans="4:17" x14ac:dyDescent="0.25">
      <c r="D17" s="35" t="s">
        <v>61</v>
      </c>
      <c r="F17" s="35" t="s">
        <v>96</v>
      </c>
      <c r="G17" s="35"/>
      <c r="H17" s="35" t="s">
        <v>48</v>
      </c>
      <c r="I17" s="36" t="s">
        <v>166</v>
      </c>
      <c r="J17" s="35" t="s">
        <v>183</v>
      </c>
      <c r="K17" s="35" t="s">
        <v>207</v>
      </c>
      <c r="L17" s="35" t="s">
        <v>58</v>
      </c>
      <c r="N17" s="35" t="s">
        <v>241</v>
      </c>
      <c r="O17" s="35" t="s">
        <v>285</v>
      </c>
      <c r="P17" s="36" t="s">
        <v>263</v>
      </c>
      <c r="Q17" s="35" t="s">
        <v>162</v>
      </c>
    </row>
    <row r="18" spans="4:17" x14ac:dyDescent="0.25">
      <c r="D18" s="35" t="s">
        <v>62</v>
      </c>
      <c r="F18" s="35" t="s">
        <v>97</v>
      </c>
      <c r="G18" s="35"/>
      <c r="H18" s="35" t="s">
        <v>128</v>
      </c>
      <c r="I18" s="36" t="s">
        <v>167</v>
      </c>
      <c r="J18" s="35" t="s">
        <v>184</v>
      </c>
      <c r="K18" s="35" t="s">
        <v>185</v>
      </c>
      <c r="L18" s="35" t="s">
        <v>227</v>
      </c>
      <c r="N18" s="35" t="s">
        <v>271</v>
      </c>
      <c r="O18" s="35" t="s">
        <v>252</v>
      </c>
      <c r="P18" s="36" t="s">
        <v>264</v>
      </c>
      <c r="Q18" s="35" t="s">
        <v>359</v>
      </c>
    </row>
    <row r="19" spans="4:17" x14ac:dyDescent="0.25">
      <c r="D19" s="35" t="s">
        <v>63</v>
      </c>
      <c r="F19" s="35" t="s">
        <v>98</v>
      </c>
      <c r="G19" s="35"/>
      <c r="H19" s="35" t="s">
        <v>129</v>
      </c>
      <c r="I19" s="36" t="s">
        <v>168</v>
      </c>
      <c r="J19" s="35" t="s">
        <v>185</v>
      </c>
      <c r="K19" s="35" t="s">
        <v>208</v>
      </c>
      <c r="L19" s="35" t="s">
        <v>228</v>
      </c>
      <c r="N19" s="35" t="s">
        <v>97</v>
      </c>
      <c r="O19" s="35" t="s">
        <v>264</v>
      </c>
      <c r="P19" s="36" t="s">
        <v>177</v>
      </c>
      <c r="Q19" s="35" t="s">
        <v>360</v>
      </c>
    </row>
    <row r="20" spans="4:17" x14ac:dyDescent="0.25">
      <c r="D20" s="35" t="s">
        <v>64</v>
      </c>
      <c r="F20" s="35" t="s">
        <v>99</v>
      </c>
      <c r="G20" s="35"/>
      <c r="H20" s="35" t="s">
        <v>130</v>
      </c>
      <c r="I20" s="36" t="s">
        <v>169</v>
      </c>
      <c r="J20" s="35" t="s">
        <v>186</v>
      </c>
      <c r="K20" s="35" t="s">
        <v>145</v>
      </c>
      <c r="L20" s="35" t="s">
        <v>229</v>
      </c>
      <c r="N20" s="35" t="s">
        <v>151</v>
      </c>
      <c r="O20" s="35" t="s">
        <v>177</v>
      </c>
      <c r="P20" s="36" t="s">
        <v>129</v>
      </c>
      <c r="Q20" s="35" t="s">
        <v>58</v>
      </c>
    </row>
    <row r="21" spans="4:17" x14ac:dyDescent="0.25">
      <c r="D21" s="35" t="s">
        <v>65</v>
      </c>
      <c r="F21" s="35"/>
      <c r="G21" s="35"/>
      <c r="H21" s="35" t="s">
        <v>131</v>
      </c>
      <c r="I21" s="36" t="s">
        <v>170</v>
      </c>
      <c r="J21" s="35" t="s">
        <v>187</v>
      </c>
      <c r="K21" s="35" t="s">
        <v>68</v>
      </c>
      <c r="L21" s="35" t="s">
        <v>138</v>
      </c>
      <c r="N21" s="35" t="s">
        <v>272</v>
      </c>
      <c r="O21" s="35" t="s">
        <v>286</v>
      </c>
      <c r="P21" s="36" t="s">
        <v>311</v>
      </c>
      <c r="Q21" s="35" t="s">
        <v>361</v>
      </c>
    </row>
    <row r="22" spans="4:17" x14ac:dyDescent="0.25">
      <c r="D22" s="35" t="s">
        <v>66</v>
      </c>
      <c r="H22" s="35" t="s">
        <v>132</v>
      </c>
      <c r="J22" s="35" t="s">
        <v>188</v>
      </c>
      <c r="K22" s="35" t="s">
        <v>108</v>
      </c>
      <c r="L22" s="35" t="s">
        <v>230</v>
      </c>
      <c r="N22" s="35" t="s">
        <v>104</v>
      </c>
      <c r="O22" s="35" t="s">
        <v>76</v>
      </c>
      <c r="P22" s="36" t="s">
        <v>312</v>
      </c>
      <c r="Q22" s="35" t="s">
        <v>362</v>
      </c>
    </row>
    <row r="23" spans="4:17" x14ac:dyDescent="0.25">
      <c r="D23" s="35" t="s">
        <v>67</v>
      </c>
      <c r="H23" s="35" t="s">
        <v>133</v>
      </c>
      <c r="J23" s="35" t="s">
        <v>189</v>
      </c>
      <c r="K23" s="35" t="s">
        <v>209</v>
      </c>
      <c r="L23" s="35" t="s">
        <v>231</v>
      </c>
      <c r="O23" s="35" t="s">
        <v>255</v>
      </c>
      <c r="P23" s="36" t="s">
        <v>76</v>
      </c>
      <c r="Q23" s="35" t="s">
        <v>363</v>
      </c>
    </row>
    <row r="24" spans="4:17" x14ac:dyDescent="0.25">
      <c r="D24" s="35" t="s">
        <v>68</v>
      </c>
      <c r="H24" s="35" t="s">
        <v>134</v>
      </c>
      <c r="J24" s="35" t="s">
        <v>190</v>
      </c>
      <c r="K24" s="35" t="s">
        <v>210</v>
      </c>
      <c r="L24" s="35" t="s">
        <v>232</v>
      </c>
      <c r="O24" s="35" t="s">
        <v>287</v>
      </c>
      <c r="P24" s="36" t="s">
        <v>313</v>
      </c>
      <c r="Q24" s="35" t="s">
        <v>164</v>
      </c>
    </row>
    <row r="25" spans="4:17" x14ac:dyDescent="0.25">
      <c r="D25" s="35" t="s">
        <v>69</v>
      </c>
      <c r="H25" s="35" t="s">
        <v>135</v>
      </c>
      <c r="J25" s="35" t="s">
        <v>191</v>
      </c>
      <c r="K25" s="35" t="s">
        <v>211</v>
      </c>
      <c r="L25" s="35" t="s">
        <v>233</v>
      </c>
      <c r="O25" s="35" t="s">
        <v>90</v>
      </c>
      <c r="P25" s="36" t="s">
        <v>314</v>
      </c>
      <c r="Q25" s="35" t="s">
        <v>364</v>
      </c>
    </row>
    <row r="26" spans="4:17" x14ac:dyDescent="0.25">
      <c r="D26" s="35" t="s">
        <v>70</v>
      </c>
      <c r="H26" s="35" t="s">
        <v>54</v>
      </c>
      <c r="J26" s="35" t="s">
        <v>192</v>
      </c>
      <c r="K26" s="35" t="s">
        <v>212</v>
      </c>
      <c r="L26" s="35" t="s">
        <v>141</v>
      </c>
      <c r="O26" s="35" t="s">
        <v>288</v>
      </c>
      <c r="P26" s="36" t="s">
        <v>161</v>
      </c>
      <c r="Q26" s="35" t="s">
        <v>365</v>
      </c>
    </row>
    <row r="27" spans="4:17" x14ac:dyDescent="0.25">
      <c r="D27" s="35" t="s">
        <v>71</v>
      </c>
      <c r="H27" s="35" t="s">
        <v>57</v>
      </c>
      <c r="J27" s="35" t="s">
        <v>193</v>
      </c>
      <c r="K27" s="35" t="s">
        <v>213</v>
      </c>
      <c r="L27" s="35" t="s">
        <v>234</v>
      </c>
      <c r="O27" s="35" t="s">
        <v>204</v>
      </c>
      <c r="P27" s="36" t="s">
        <v>135</v>
      </c>
      <c r="Q27" s="35" t="s">
        <v>188</v>
      </c>
    </row>
    <row r="28" spans="4:17" x14ac:dyDescent="0.25">
      <c r="D28" s="35" t="s">
        <v>72</v>
      </c>
      <c r="H28" s="35" t="s">
        <v>58</v>
      </c>
      <c r="J28" s="35" t="s">
        <v>194</v>
      </c>
      <c r="K28" s="35" t="s">
        <v>214</v>
      </c>
      <c r="L28" s="35" t="s">
        <v>235</v>
      </c>
      <c r="O28" s="35" t="s">
        <v>289</v>
      </c>
      <c r="P28" s="36" t="s">
        <v>204</v>
      </c>
      <c r="Q28" s="35" t="s">
        <v>366</v>
      </c>
    </row>
    <row r="29" spans="4:17" x14ac:dyDescent="0.25">
      <c r="D29" s="35" t="s">
        <v>73</v>
      </c>
      <c r="H29" s="35" t="s">
        <v>136</v>
      </c>
      <c r="J29" s="35" t="s">
        <v>195</v>
      </c>
      <c r="K29" s="35" t="s">
        <v>215</v>
      </c>
      <c r="L29" s="35" t="s">
        <v>236</v>
      </c>
      <c r="O29" s="35" t="s">
        <v>290</v>
      </c>
      <c r="P29" s="36" t="s">
        <v>315</v>
      </c>
      <c r="Q29" s="35" t="s">
        <v>367</v>
      </c>
    </row>
    <row r="30" spans="4:17" x14ac:dyDescent="0.25">
      <c r="H30" s="35" t="s">
        <v>137</v>
      </c>
      <c r="J30" s="35" t="s">
        <v>196</v>
      </c>
      <c r="K30" s="35" t="s">
        <v>216</v>
      </c>
      <c r="L30" s="35" t="s">
        <v>237</v>
      </c>
      <c r="O30" s="35" t="s">
        <v>291</v>
      </c>
      <c r="P30" s="36" t="s">
        <v>205</v>
      </c>
      <c r="Q30" s="35" t="s">
        <v>368</v>
      </c>
    </row>
    <row r="31" spans="4:17" x14ac:dyDescent="0.25">
      <c r="H31" s="35" t="s">
        <v>138</v>
      </c>
      <c r="J31" s="35" t="s">
        <v>71</v>
      </c>
      <c r="L31" s="35" t="s">
        <v>185</v>
      </c>
      <c r="O31" s="35" t="s">
        <v>292</v>
      </c>
      <c r="P31" s="36" t="s">
        <v>316</v>
      </c>
      <c r="Q31" s="35" t="s">
        <v>94</v>
      </c>
    </row>
    <row r="32" spans="4:17" x14ac:dyDescent="0.25">
      <c r="H32" s="35" t="s">
        <v>139</v>
      </c>
      <c r="J32" s="35" t="s">
        <v>73</v>
      </c>
      <c r="L32" s="35" t="s">
        <v>238</v>
      </c>
      <c r="O32" s="35" t="s">
        <v>293</v>
      </c>
      <c r="P32" s="36" t="s">
        <v>54</v>
      </c>
      <c r="Q32" s="35" t="s">
        <v>347</v>
      </c>
    </row>
    <row r="33" spans="8:17" x14ac:dyDescent="0.25">
      <c r="H33" s="35" t="s">
        <v>140</v>
      </c>
      <c r="J33" s="35" t="s">
        <v>79</v>
      </c>
      <c r="L33" s="35" t="s">
        <v>239</v>
      </c>
      <c r="O33" s="35" t="s">
        <v>294</v>
      </c>
      <c r="P33" s="36" t="s">
        <v>55</v>
      </c>
      <c r="Q33" s="35" t="s">
        <v>369</v>
      </c>
    </row>
    <row r="34" spans="8:17" x14ac:dyDescent="0.25">
      <c r="H34" s="35" t="s">
        <v>141</v>
      </c>
      <c r="J34" s="35" t="s">
        <v>197</v>
      </c>
      <c r="L34" s="35" t="s">
        <v>145</v>
      </c>
      <c r="O34" s="35" t="s">
        <v>295</v>
      </c>
      <c r="P34" s="36" t="s">
        <v>226</v>
      </c>
      <c r="Q34" s="35" t="s">
        <v>73</v>
      </c>
    </row>
    <row r="35" spans="8:17" x14ac:dyDescent="0.25">
      <c r="H35" s="35" t="s">
        <v>142</v>
      </c>
      <c r="J35" s="35" t="s">
        <v>198</v>
      </c>
      <c r="L35" s="35" t="s">
        <v>240</v>
      </c>
      <c r="O35" s="35" t="s">
        <v>296</v>
      </c>
      <c r="P35" s="36" t="s">
        <v>317</v>
      </c>
      <c r="Q35" s="35" t="s">
        <v>370</v>
      </c>
    </row>
    <row r="36" spans="8:17" x14ac:dyDescent="0.25">
      <c r="H36" s="35" t="s">
        <v>143</v>
      </c>
      <c r="L36" s="35" t="s">
        <v>241</v>
      </c>
      <c r="O36" s="35" t="s">
        <v>145</v>
      </c>
      <c r="P36" s="36" t="s">
        <v>57</v>
      </c>
      <c r="Q36" s="35" t="s">
        <v>371</v>
      </c>
    </row>
    <row r="37" spans="8:17" x14ac:dyDescent="0.25">
      <c r="H37" s="35" t="s">
        <v>144</v>
      </c>
      <c r="L37" s="35" t="s">
        <v>242</v>
      </c>
      <c r="O37" s="35" t="s">
        <v>297</v>
      </c>
      <c r="P37" s="36" t="s">
        <v>318</v>
      </c>
    </row>
    <row r="38" spans="8:17" x14ac:dyDescent="0.25">
      <c r="H38" s="35" t="s">
        <v>94</v>
      </c>
      <c r="L38" s="35" t="s">
        <v>243</v>
      </c>
      <c r="O38" s="35" t="s">
        <v>241</v>
      </c>
      <c r="P38" s="36" t="s">
        <v>319</v>
      </c>
    </row>
    <row r="39" spans="8:17" x14ac:dyDescent="0.25">
      <c r="H39" s="35" t="s">
        <v>145</v>
      </c>
      <c r="L39" s="35" t="s">
        <v>244</v>
      </c>
      <c r="O39" s="35" t="s">
        <v>147</v>
      </c>
      <c r="P39" s="36" t="s">
        <v>58</v>
      </c>
    </row>
    <row r="40" spans="8:17" x14ac:dyDescent="0.25">
      <c r="H40" s="35" t="s">
        <v>146</v>
      </c>
      <c r="L40" s="35" t="s">
        <v>245</v>
      </c>
      <c r="O40" s="35" t="s">
        <v>298</v>
      </c>
      <c r="P40" s="36" t="s">
        <v>136</v>
      </c>
    </row>
    <row r="41" spans="8:17" x14ac:dyDescent="0.25">
      <c r="H41" s="35" t="s">
        <v>147</v>
      </c>
      <c r="L41" s="35" t="s">
        <v>195</v>
      </c>
      <c r="O41" s="35" t="s">
        <v>109</v>
      </c>
      <c r="P41" s="36" t="s">
        <v>320</v>
      </c>
    </row>
    <row r="42" spans="8:17" x14ac:dyDescent="0.25">
      <c r="H42" s="35" t="s">
        <v>148</v>
      </c>
      <c r="L42" s="35" t="s">
        <v>246</v>
      </c>
      <c r="O42" s="35" t="s">
        <v>299</v>
      </c>
      <c r="P42" s="36" t="s">
        <v>321</v>
      </c>
    </row>
    <row r="43" spans="8:17" x14ac:dyDescent="0.25">
      <c r="H43" s="35" t="s">
        <v>149</v>
      </c>
      <c r="L43" s="35" t="s">
        <v>73</v>
      </c>
      <c r="O43" s="35" t="s">
        <v>300</v>
      </c>
      <c r="P43" s="36" t="s">
        <v>267</v>
      </c>
    </row>
    <row r="44" spans="8:17" x14ac:dyDescent="0.25">
      <c r="H44" s="35" t="s">
        <v>150</v>
      </c>
      <c r="L44" s="35" t="s">
        <v>247</v>
      </c>
      <c r="O44" s="35" t="s">
        <v>301</v>
      </c>
      <c r="P44" s="36" t="s">
        <v>268</v>
      </c>
    </row>
    <row r="45" spans="8:17" x14ac:dyDescent="0.25">
      <c r="H45" s="35" t="s">
        <v>151</v>
      </c>
      <c r="L45" s="35" t="s">
        <v>248</v>
      </c>
      <c r="O45" s="35" t="s">
        <v>302</v>
      </c>
      <c r="P45" s="36" t="s">
        <v>322</v>
      </c>
    </row>
    <row r="46" spans="8:17" x14ac:dyDescent="0.25">
      <c r="H46" s="35" t="s">
        <v>152</v>
      </c>
      <c r="L46" s="35" t="s">
        <v>249</v>
      </c>
      <c r="O46" s="35" t="s">
        <v>73</v>
      </c>
      <c r="P46" s="36" t="s">
        <v>323</v>
      </c>
    </row>
    <row r="47" spans="8:17" x14ac:dyDescent="0.25">
      <c r="H47" s="35" t="s">
        <v>153</v>
      </c>
      <c r="O47" s="35" t="s">
        <v>303</v>
      </c>
      <c r="P47" s="36" t="s">
        <v>324</v>
      </c>
    </row>
    <row r="48" spans="8:17" x14ac:dyDescent="0.25">
      <c r="H48" s="35" t="s">
        <v>154</v>
      </c>
      <c r="P48" s="36" t="s">
        <v>60</v>
      </c>
    </row>
    <row r="49" spans="16:16" x14ac:dyDescent="0.25">
      <c r="P49" s="36" t="s">
        <v>325</v>
      </c>
    </row>
    <row r="50" spans="16:16" x14ac:dyDescent="0.25">
      <c r="P50" s="36" t="s">
        <v>326</v>
      </c>
    </row>
    <row r="51" spans="16:16" x14ac:dyDescent="0.25">
      <c r="P51" s="36" t="s">
        <v>104</v>
      </c>
    </row>
    <row r="52" spans="16:16" x14ac:dyDescent="0.25">
      <c r="P52" s="36" t="s">
        <v>327</v>
      </c>
    </row>
    <row r="53" spans="16:16" x14ac:dyDescent="0.25">
      <c r="P53" s="36" t="s">
        <v>328</v>
      </c>
    </row>
    <row r="54" spans="16:16" x14ac:dyDescent="0.25">
      <c r="P54" s="36" t="s">
        <v>139</v>
      </c>
    </row>
    <row r="55" spans="16:16" x14ac:dyDescent="0.25">
      <c r="P55" s="36" t="s">
        <v>231</v>
      </c>
    </row>
    <row r="56" spans="16:16" x14ac:dyDescent="0.25">
      <c r="P56" s="36" t="s">
        <v>329</v>
      </c>
    </row>
    <row r="57" spans="16:16" x14ac:dyDescent="0.25">
      <c r="P57" s="36" t="s">
        <v>330</v>
      </c>
    </row>
    <row r="58" spans="16:16" x14ac:dyDescent="0.25">
      <c r="P58" s="36" t="s">
        <v>331</v>
      </c>
    </row>
    <row r="59" spans="16:16" x14ac:dyDescent="0.25">
      <c r="P59" s="36" t="s">
        <v>332</v>
      </c>
    </row>
    <row r="60" spans="16:16" x14ac:dyDescent="0.25">
      <c r="P60" s="36" t="s">
        <v>333</v>
      </c>
    </row>
    <row r="61" spans="16:16" x14ac:dyDescent="0.25">
      <c r="P61" s="36" t="s">
        <v>334</v>
      </c>
    </row>
    <row r="62" spans="16:16" x14ac:dyDescent="0.25">
      <c r="P62" s="36" t="s">
        <v>335</v>
      </c>
    </row>
    <row r="63" spans="16:16" x14ac:dyDescent="0.25">
      <c r="P63" s="36" t="s">
        <v>336</v>
      </c>
    </row>
    <row r="64" spans="16:16" x14ac:dyDescent="0.25">
      <c r="P64" s="36" t="s">
        <v>143</v>
      </c>
    </row>
    <row r="65" spans="16:16" x14ac:dyDescent="0.25">
      <c r="P65" s="36" t="s">
        <v>166</v>
      </c>
    </row>
    <row r="66" spans="16:16" x14ac:dyDescent="0.25">
      <c r="P66" s="36" t="s">
        <v>337</v>
      </c>
    </row>
    <row r="67" spans="16:16" x14ac:dyDescent="0.25">
      <c r="P67" s="36" t="s">
        <v>144</v>
      </c>
    </row>
    <row r="68" spans="16:16" x14ac:dyDescent="0.25">
      <c r="P68" s="36" t="s">
        <v>338</v>
      </c>
    </row>
    <row r="69" spans="16:16" x14ac:dyDescent="0.25">
      <c r="P69" s="36" t="s">
        <v>339</v>
      </c>
    </row>
    <row r="70" spans="16:16" x14ac:dyDescent="0.25">
      <c r="P70" s="36" t="s">
        <v>64</v>
      </c>
    </row>
    <row r="71" spans="16:16" x14ac:dyDescent="0.25">
      <c r="P71" s="36" t="s">
        <v>340</v>
      </c>
    </row>
    <row r="72" spans="16:16" x14ac:dyDescent="0.25">
      <c r="P72" s="36" t="s">
        <v>341</v>
      </c>
    </row>
    <row r="73" spans="16:16" x14ac:dyDescent="0.25">
      <c r="P73" s="36" t="s">
        <v>241</v>
      </c>
    </row>
    <row r="74" spans="16:16" x14ac:dyDescent="0.25">
      <c r="P74" s="36" t="s">
        <v>342</v>
      </c>
    </row>
    <row r="75" spans="16:16" x14ac:dyDescent="0.25">
      <c r="P75" s="36" t="s">
        <v>343</v>
      </c>
    </row>
    <row r="76" spans="16:16" x14ac:dyDescent="0.25">
      <c r="P76" s="36" t="s">
        <v>344</v>
      </c>
    </row>
    <row r="77" spans="16:16" x14ac:dyDescent="0.25">
      <c r="P77" s="36" t="s">
        <v>109</v>
      </c>
    </row>
    <row r="78" spans="16:16" x14ac:dyDescent="0.25">
      <c r="P78" s="36" t="s">
        <v>345</v>
      </c>
    </row>
    <row r="79" spans="16:16" x14ac:dyDescent="0.25">
      <c r="P79" s="36" t="s">
        <v>346</v>
      </c>
    </row>
    <row r="80" spans="16:16" x14ac:dyDescent="0.25">
      <c r="P80" s="36" t="s">
        <v>347</v>
      </c>
    </row>
    <row r="81" spans="16:16" x14ac:dyDescent="0.25">
      <c r="P81" s="36" t="s">
        <v>348</v>
      </c>
    </row>
    <row r="82" spans="16:16" x14ac:dyDescent="0.25">
      <c r="P82" s="36" t="s">
        <v>349</v>
      </c>
    </row>
    <row r="83" spans="16:16" x14ac:dyDescent="0.25">
      <c r="P83" s="36" t="s">
        <v>350</v>
      </c>
    </row>
    <row r="441" spans="39:39" x14ac:dyDescent="0.25">
      <c r="AM441" s="33" t="s">
        <v>396</v>
      </c>
    </row>
  </sheetData>
  <sheetProtection password="CF7A" sheet="1" objects="1" scenarios="1" selectLockedCells="1" selectUnlockedCells="1"/>
  <pageMargins left="0.7" right="0.7" top="0.75" bottom="0.75" header="0.3" footer="0.3"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Attached for PAYE</vt:lpstr>
      <vt:lpstr>Period</vt:lpstr>
      <vt:lpstr>TSP_Code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advisor</dc:creator>
  <cp:lastModifiedBy>SUPER</cp:lastModifiedBy>
  <cp:revision/>
  <cp:lastPrinted>2020-05-27T06:59:55Z</cp:lastPrinted>
  <dcterms:created xsi:type="dcterms:W3CDTF">2014-09-02T06:55:30Z</dcterms:created>
  <dcterms:modified xsi:type="dcterms:W3CDTF">2020-08-29T07:38:00Z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95b6a98b-cf9f-4ba2-be5e-466d749ee45e</vt:lpwstr>
  </property>
</Properties>
</file>